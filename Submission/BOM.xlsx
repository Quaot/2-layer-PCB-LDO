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BO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0.00"/>
    <numFmt numFmtId="165" formatCode="\$0.000"/>
    <numFmt numFmtId="166" formatCode="$0.000"/>
    <numFmt numFmtId="167" formatCode="$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color rgb="FF0000FF"/>
      <sz val="10"/>
    </font>
    <font>
      <name val="Arial"/>
      <i val="1"/>
      <color rgb="FF666666"/>
      <sz val="9"/>
    </font>
    <font>
      <name val="Calibri"/>
      <family val="2"/>
      <sz val="11"/>
      <scheme val="minor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4" fillId="0" borderId="1" applyAlignment="1" pivotButton="0" quotePrefix="0" xfId="0">
      <alignment vertical="center"/>
    </xf>
    <xf numFmtId="0" fontId="5" fillId="0" borderId="0" pivotButton="0" quotePrefix="0" xfId="0"/>
    <xf numFmtId="0" fontId="3" fillId="0" borderId="2" applyAlignment="1" pivotButton="0" quotePrefix="0" xfId="0">
      <alignment vertical="top"/>
    </xf>
    <xf numFmtId="0" fontId="7" fillId="0" borderId="0" pivotButton="0" quotePrefix="0" xfId="0"/>
    <xf numFmtId="0" fontId="6" fillId="0" borderId="2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top" wrapText="1"/>
    </xf>
    <xf numFmtId="166" fontId="4" fillId="0" borderId="3" applyAlignment="1" pivotButton="0" quotePrefix="0" xfId="0">
      <alignment vertical="top" wrapText="1"/>
    </xf>
    <xf numFmtId="0" fontId="4" fillId="0" borderId="0" pivotButton="0" quotePrefix="0" xfId="0"/>
    <xf numFmtId="167" fontId="3" fillId="0" borderId="3" pivotButton="0" quotePrefix="0" xfId="0"/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14" customWidth="1" min="4" max="4"/>
    <col width="18" customWidth="1" min="5" max="5"/>
    <col width="22" customWidth="1" min="6" max="6"/>
    <col width="10" customWidth="1" min="7" max="7"/>
    <col width="22" customWidth="1" min="8" max="8"/>
    <col width="12" customWidth="1" min="9" max="9"/>
    <col width="12" customWidth="1" min="10" max="10"/>
    <col width="40" customWidth="1" min="11" max="11"/>
  </cols>
  <sheetData>
    <row r="1">
      <c r="A1" s="15" t="inlineStr">
        <is>
          <t>Bill of Materials — LM1117 5 V to 3.3 V LDO (WATonomous onboarding)</t>
        </is>
      </c>
    </row>
    <row r="3" ht="28" customHeight="1">
      <c r="A3" s="16" t="inlineStr">
        <is>
          <t>Designator</t>
        </is>
      </c>
      <c r="B3" s="16" t="inlineStr">
        <is>
          <t>Qty</t>
        </is>
      </c>
      <c r="C3" s="16" t="inlineStr">
        <is>
          <t>Value</t>
        </is>
      </c>
      <c r="D3" s="16" t="inlineStr">
        <is>
          <t>Footprint</t>
        </is>
      </c>
      <c r="E3" s="16" t="inlineStr">
        <is>
          <t>Manufacturer</t>
        </is>
      </c>
      <c r="F3" s="16" t="inlineStr">
        <is>
          <t>MPN</t>
        </is>
      </c>
      <c r="G3" s="16" t="inlineStr">
        <is>
          <t>Supplier</t>
        </is>
      </c>
      <c r="H3" s="16" t="inlineStr">
        <is>
          <t>Supplier PN</t>
        </is>
      </c>
      <c r="I3" s="16" t="inlineStr">
        <is>
          <t>Unit price (CAD)</t>
        </is>
      </c>
      <c r="J3" s="16" t="inlineStr">
        <is>
          <t>Ext. price (CAD)</t>
        </is>
      </c>
      <c r="K3" s="16" t="inlineStr">
        <is>
          <t>Description</t>
        </is>
      </c>
    </row>
    <row r="4">
      <c r="A4" s="17" t="inlineStr">
        <is>
          <t>U1</t>
        </is>
      </c>
      <c r="B4" s="17" t="n">
        <v>1</v>
      </c>
      <c r="C4" s="17" t="inlineStr">
        <is>
          <t>3.3 V ADJ LDO</t>
        </is>
      </c>
      <c r="D4" s="17" t="inlineStr">
        <is>
          <t>SOT-223 (DCY)</t>
        </is>
      </c>
      <c r="E4" s="17" t="inlineStr">
        <is>
          <t>Texas Instruments</t>
        </is>
      </c>
      <c r="F4" s="17" t="inlineStr">
        <is>
          <t>LM1117MP-ADJ/NOPB</t>
        </is>
      </c>
      <c r="G4" s="17" t="inlineStr">
        <is>
          <t>DigiKey</t>
        </is>
      </c>
      <c r="H4" s="17" t="inlineStr">
        <is>
          <t>LM1117MP-ADJ/NOPBCT-ND</t>
        </is>
      </c>
      <c r="I4" s="18" t="n">
        <v>2.58</v>
      </c>
      <c r="J4" s="18">
        <f>B4*I4</f>
        <v/>
      </c>
    </row>
    <row r="5">
      <c r="A5" s="17" t="inlineStr">
        <is>
          <t>R1</t>
        </is>
      </c>
      <c r="B5" s="17" t="n">
        <v>1</v>
      </c>
      <c r="C5" s="17" t="inlineStr">
        <is>
          <t>162 Ω 1% 1/8 W</t>
        </is>
      </c>
      <c r="D5" s="17" t="inlineStr">
        <is>
          <t>0805</t>
        </is>
      </c>
      <c r="E5" s="17" t="inlineStr">
        <is>
          <t>YAGEO</t>
        </is>
      </c>
      <c r="F5" s="17" t="inlineStr">
        <is>
          <t>RC0805FR-07162RL</t>
        </is>
      </c>
      <c r="G5" s="17" t="inlineStr">
        <is>
          <t>DigiKey</t>
        </is>
      </c>
      <c r="H5" s="17" t="inlineStr">
        <is>
          <t>311-162CRCT-ND</t>
        </is>
      </c>
      <c r="I5" s="18" t="n">
        <v>0.16</v>
      </c>
      <c r="J5" s="18">
        <f>B5*I5</f>
        <v/>
      </c>
    </row>
    <row r="6">
      <c r="A6" s="17" t="inlineStr">
        <is>
          <t>R2</t>
        </is>
      </c>
      <c r="B6" s="17" t="n">
        <v>1</v>
      </c>
      <c r="C6" s="17" t="inlineStr">
        <is>
          <t>267 Ω 1% 1/8 W</t>
        </is>
      </c>
      <c r="D6" s="17" t="inlineStr">
        <is>
          <t>0805</t>
        </is>
      </c>
      <c r="E6" s="17" t="inlineStr">
        <is>
          <t>YAGEO</t>
        </is>
      </c>
      <c r="F6" s="17" t="inlineStr">
        <is>
          <t>RC0805FR-07267RL</t>
        </is>
      </c>
      <c r="G6" s="17" t="inlineStr">
        <is>
          <t>DigiKey</t>
        </is>
      </c>
      <c r="H6" s="17" t="inlineStr">
        <is>
          <t>311-267CRCT-ND</t>
        </is>
      </c>
      <c r="I6" s="18" t="n">
        <v>0.16</v>
      </c>
      <c r="J6" s="18">
        <f>B6*I6</f>
        <v/>
      </c>
    </row>
    <row r="7">
      <c r="A7" s="17" t="inlineStr">
        <is>
          <t>R3</t>
        </is>
      </c>
      <c r="B7" s="17" t="n">
        <v>1</v>
      </c>
      <c r="C7" s="17" t="inlineStr">
        <is>
          <t>432 Ω 1% 1/8 W</t>
        </is>
      </c>
      <c r="D7" s="17" t="inlineStr">
        <is>
          <t>0805</t>
        </is>
      </c>
      <c r="E7" s="17" t="inlineStr">
        <is>
          <t>YAGEO</t>
        </is>
      </c>
      <c r="F7" s="17" t="inlineStr">
        <is>
          <t>RC0805FR-07432RL</t>
        </is>
      </c>
      <c r="G7" s="17" t="inlineStr">
        <is>
          <t>DigiKey</t>
        </is>
      </c>
      <c r="H7" s="17" t="inlineStr">
        <is>
          <t>311-432CRCT-ND</t>
        </is>
      </c>
      <c r="I7" s="18" t="n">
        <v>0.14</v>
      </c>
      <c r="J7" s="18">
        <f>B7*I7</f>
        <v/>
      </c>
    </row>
    <row r="8">
      <c r="A8" s="17" t="inlineStr">
        <is>
          <t>D1</t>
        </is>
      </c>
      <c r="B8" s="17" t="n">
        <v>1</v>
      </c>
      <c r="C8" s="17" t="inlineStr">
        <is>
          <t>Red LED (V_F 2.0 V)</t>
        </is>
      </c>
      <c r="D8" s="17" t="inlineStr">
        <is>
          <t>0805</t>
        </is>
      </c>
      <c r="E8" s="17" t="inlineStr">
        <is>
          <t>Lite-On</t>
        </is>
      </c>
      <c r="F8" s="17" t="inlineStr">
        <is>
          <t>LTST-C170KRKT</t>
        </is>
      </c>
      <c r="G8" s="17" t="inlineStr">
        <is>
          <t>DigiKey</t>
        </is>
      </c>
      <c r="H8" s="17" t="inlineStr">
        <is>
          <t>160-1415-1-ND</t>
        </is>
      </c>
      <c r="I8" s="18" t="n">
        <v>0.28</v>
      </c>
      <c r="J8" s="18">
        <f>B8*I8</f>
        <v/>
      </c>
    </row>
    <row r="9">
      <c r="A9" s="17" t="inlineStr">
        <is>
          <t>C1</t>
        </is>
      </c>
      <c r="B9" s="17" t="n">
        <v>1</v>
      </c>
      <c r="C9" s="17" t="inlineStr">
        <is>
          <t>22 µF 25 V X5R</t>
        </is>
      </c>
      <c r="D9" s="17" t="inlineStr">
        <is>
          <t>0805 (2012)</t>
        </is>
      </c>
      <c r="E9" s="17" t="inlineStr">
        <is>
          <t>Murata Electronics</t>
        </is>
      </c>
      <c r="F9" s="17" t="inlineStr">
        <is>
          <t>GRM21BR61E226ME44L</t>
        </is>
      </c>
      <c r="G9" s="17" t="inlineStr">
        <is>
          <t>DigiKey</t>
        </is>
      </c>
      <c r="H9" s="17" t="inlineStr">
        <is>
          <t>490-10749-1-ND</t>
        </is>
      </c>
      <c r="I9" s="18" t="n">
        <v>0.53</v>
      </c>
      <c r="J9" s="18">
        <f>B9*I9</f>
        <v/>
      </c>
    </row>
    <row r="10">
      <c r="A10" s="17" t="inlineStr">
        <is>
          <t>C2</t>
        </is>
      </c>
      <c r="B10" s="17" t="n">
        <v>1</v>
      </c>
      <c r="C10" s="17" t="inlineStr">
        <is>
          <t>15 µF 10 V tantalum</t>
        </is>
      </c>
      <c r="D10" s="17" t="inlineStr">
        <is>
          <t>0805 (2012)</t>
        </is>
      </c>
      <c r="E10" s="17" t="inlineStr">
        <is>
          <t>KYOCERA AVX</t>
        </is>
      </c>
      <c r="F10" s="17" t="inlineStr">
        <is>
          <t>TACR156K010XTA</t>
        </is>
      </c>
      <c r="G10" s="17" t="inlineStr">
        <is>
          <t>DigiKey</t>
        </is>
      </c>
      <c r="H10" s="17" t="inlineStr">
        <is>
          <t>478-4187-1-ND</t>
        </is>
      </c>
      <c r="I10" s="18" t="n">
        <v>5.1</v>
      </c>
      <c r="J10" s="18">
        <f>B10*I10</f>
        <v/>
      </c>
    </row>
    <row r="11">
      <c r="A11" s="17" t="inlineStr">
        <is>
          <t>J1, J2</t>
        </is>
      </c>
      <c r="B11" s="17" t="n">
        <v>2</v>
      </c>
      <c r="C11" s="17" t="inlineStr">
        <is>
          <t>2-pos 2.54 mm header</t>
        </is>
      </c>
      <c r="D11" s="17" t="inlineStr">
        <is>
          <t>THT 2.54 mm</t>
        </is>
      </c>
      <c r="E11" s="17" t="inlineStr">
        <is>
          <t>Würth Elektronik</t>
        </is>
      </c>
      <c r="F11" s="17" t="inlineStr">
        <is>
          <t>61300211121</t>
        </is>
      </c>
      <c r="G11" s="17" t="inlineStr">
        <is>
          <t>DigiKey</t>
        </is>
      </c>
      <c r="H11" s="17" t="inlineStr">
        <is>
          <t>732-5315-ND</t>
        </is>
      </c>
      <c r="I11" s="18" t="n">
        <v>0.19</v>
      </c>
      <c r="J11" s="18">
        <f>B11*I11</f>
        <v/>
      </c>
    </row>
    <row r="12">
      <c r="A12" s="19" t="inlineStr">
        <is>
          <t xml:space="preserve">Unique parts: 8  |  Total placed: </t>
        </is>
      </c>
      <c r="B12" s="4">
        <f>SUM(B4:B11)</f>
        <v/>
      </c>
      <c r="H12" s="4" t="inlineStr">
        <is>
          <t>Total</t>
        </is>
      </c>
      <c r="J12" s="20">
        <f>SUM(J4:J11)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2026-09-18T23:14:41Z</dcterms:created>
  <dcterms:modified xsi:type="dcterms:W3CDTF">2026-09-25T02:33:56Z</dcterms:modified>
  <cp:lastModifiedBy>Justin Gu</cp:lastModifiedBy>
</cp:coreProperties>
</file>