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ustin\Downloads\WATonomous Onboarding\"/>
    </mc:Choice>
  </mc:AlternateContent>
  <xr:revisionPtr revIDLastSave="0" documentId="13_ncr:1_{21C39C00-5039-4C76-92BF-F50A710745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vider" sheetId="1" r:id="rId1"/>
    <sheet name="E96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3" i="1" l="1"/>
  <c r="G43" i="1"/>
  <c r="F43" i="1"/>
  <c r="Q42" i="1"/>
  <c r="G42" i="1"/>
  <c r="Q41" i="1"/>
  <c r="G41" i="1"/>
  <c r="Q40" i="1"/>
  <c r="G40" i="1"/>
  <c r="Q39" i="1"/>
  <c r="H39" i="1"/>
  <c r="J39" i="1" s="1"/>
  <c r="G39" i="1"/>
  <c r="Q38" i="1"/>
  <c r="G38" i="1"/>
  <c r="F38" i="1"/>
  <c r="Q37" i="1"/>
  <c r="H37" i="1"/>
  <c r="G37" i="1"/>
  <c r="Q36" i="1"/>
  <c r="G36" i="1"/>
  <c r="Q35" i="1"/>
  <c r="G35" i="1"/>
  <c r="Q34" i="1"/>
  <c r="J34" i="1"/>
  <c r="I34" i="1"/>
  <c r="K34" i="1" s="1"/>
  <c r="L34" i="1" s="1"/>
  <c r="M34" i="1" s="1"/>
  <c r="H34" i="1"/>
  <c r="G34" i="1"/>
  <c r="Q33" i="1"/>
  <c r="H33" i="1"/>
  <c r="G33" i="1"/>
  <c r="F33" i="1"/>
  <c r="Q32" i="1"/>
  <c r="G32" i="1"/>
  <c r="F32" i="1"/>
  <c r="Q31" i="1"/>
  <c r="G31" i="1"/>
  <c r="F31" i="1"/>
  <c r="Q30" i="1"/>
  <c r="G30" i="1"/>
  <c r="Q29" i="1"/>
  <c r="G29" i="1"/>
  <c r="Q28" i="1"/>
  <c r="H28" i="1"/>
  <c r="I28" i="1" s="1"/>
  <c r="G28" i="1"/>
  <c r="F28" i="1"/>
  <c r="Q27" i="1"/>
  <c r="G27" i="1"/>
  <c r="F27" i="1"/>
  <c r="Q26" i="1"/>
  <c r="G26" i="1"/>
  <c r="Q25" i="1"/>
  <c r="G25" i="1"/>
  <c r="Q24" i="1"/>
  <c r="G24" i="1"/>
  <c r="Q23" i="1"/>
  <c r="H23" i="1"/>
  <c r="I23" i="1" s="1"/>
  <c r="G23" i="1"/>
  <c r="Q22" i="1"/>
  <c r="H22" i="1"/>
  <c r="J22" i="1" s="1"/>
  <c r="G22" i="1"/>
  <c r="F22" i="1"/>
  <c r="Q21" i="1"/>
  <c r="H21" i="1"/>
  <c r="G21" i="1"/>
  <c r="F21" i="1"/>
  <c r="Q20" i="1"/>
  <c r="G20" i="1"/>
  <c r="Q19" i="1"/>
  <c r="G19" i="1"/>
  <c r="Q18" i="1"/>
  <c r="G18" i="1"/>
  <c r="Q17" i="1"/>
  <c r="H17" i="1"/>
  <c r="J17" i="1" s="1"/>
  <c r="G17" i="1"/>
  <c r="Q16" i="1"/>
  <c r="H16" i="1"/>
  <c r="G16" i="1"/>
  <c r="F16" i="1"/>
  <c r="Q15" i="1"/>
  <c r="J15" i="1"/>
  <c r="H15" i="1"/>
  <c r="G15" i="1"/>
  <c r="F15" i="1"/>
  <c r="Q14" i="1"/>
  <c r="G14" i="1"/>
  <c r="F14" i="1"/>
  <c r="Q13" i="1"/>
  <c r="G13" i="1"/>
  <c r="F13" i="1"/>
  <c r="B13" i="1"/>
  <c r="F39" i="1" s="1"/>
  <c r="Q12" i="1"/>
  <c r="G12" i="1"/>
  <c r="F12" i="1"/>
  <c r="B12" i="1"/>
  <c r="H29" i="1" s="1"/>
  <c r="Q11" i="1"/>
  <c r="G11" i="1"/>
  <c r="F11" i="1"/>
  <c r="Q10" i="1"/>
  <c r="H10" i="1"/>
  <c r="I10" i="1" s="1"/>
  <c r="G10" i="1"/>
  <c r="F10" i="1"/>
  <c r="Q9" i="1"/>
  <c r="J9" i="1"/>
  <c r="H9" i="1"/>
  <c r="G9" i="1"/>
  <c r="F9" i="1"/>
  <c r="Q8" i="1"/>
  <c r="G8" i="1"/>
  <c r="F8" i="1"/>
  <c r="Q7" i="1"/>
  <c r="G7" i="1"/>
  <c r="F7" i="1"/>
  <c r="Q6" i="1"/>
  <c r="J6" i="1"/>
  <c r="H6" i="1"/>
  <c r="I6" i="1" s="1"/>
  <c r="K6" i="1" s="1"/>
  <c r="L6" i="1" s="1"/>
  <c r="M6" i="1" s="1"/>
  <c r="G6" i="1"/>
  <c r="F6" i="1"/>
  <c r="Q5" i="1"/>
  <c r="H5" i="1"/>
  <c r="G5" i="1"/>
  <c r="F5" i="1"/>
  <c r="J29" i="1" l="1"/>
  <c r="I29" i="1"/>
  <c r="K29" i="1" s="1"/>
  <c r="L29" i="1" s="1"/>
  <c r="M29" i="1" s="1"/>
  <c r="S6" i="1"/>
  <c r="O34" i="1"/>
  <c r="P34" i="1" s="1"/>
  <c r="N34" i="1"/>
  <c r="K5" i="1"/>
  <c r="L5" i="1" s="1"/>
  <c r="M5" i="1" s="1"/>
  <c r="O6" i="1"/>
  <c r="P6" i="1" s="1"/>
  <c r="N6" i="1"/>
  <c r="I39" i="1"/>
  <c r="K39" i="1" s="1"/>
  <c r="L39" i="1" s="1"/>
  <c r="M39" i="1" s="1"/>
  <c r="J23" i="1"/>
  <c r="I16" i="1"/>
  <c r="K16" i="1" s="1"/>
  <c r="L16" i="1" s="1"/>
  <c r="M16" i="1" s="1"/>
  <c r="K17" i="1"/>
  <c r="L17" i="1" s="1"/>
  <c r="M17" i="1" s="1"/>
  <c r="K23" i="1"/>
  <c r="L23" i="1" s="1"/>
  <c r="M23" i="1" s="1"/>
  <c r="J28" i="1"/>
  <c r="K28" i="1" s="1"/>
  <c r="L28" i="1" s="1"/>
  <c r="M28" i="1" s="1"/>
  <c r="I33" i="1"/>
  <c r="H38" i="1"/>
  <c r="J5" i="1"/>
  <c r="J10" i="1"/>
  <c r="J16" i="1"/>
  <c r="I22" i="1"/>
  <c r="K22" i="1" s="1"/>
  <c r="L22" i="1" s="1"/>
  <c r="M22" i="1" s="1"/>
  <c r="H27" i="1"/>
  <c r="J33" i="1"/>
  <c r="K33" i="1" s="1"/>
  <c r="L33" i="1" s="1"/>
  <c r="M33" i="1" s="1"/>
  <c r="F37" i="1"/>
  <c r="H43" i="1"/>
  <c r="K10" i="1"/>
  <c r="L10" i="1" s="1"/>
  <c r="M10" i="1" s="1"/>
  <c r="I9" i="1"/>
  <c r="K9" i="1" s="1"/>
  <c r="L9" i="1" s="1"/>
  <c r="M9" i="1" s="1"/>
  <c r="I15" i="1"/>
  <c r="K15" i="1" s="1"/>
  <c r="L15" i="1" s="1"/>
  <c r="M15" i="1" s="1"/>
  <c r="F26" i="1"/>
  <c r="H32" i="1"/>
  <c r="F42" i="1"/>
  <c r="I5" i="1"/>
  <c r="H8" i="1"/>
  <c r="H14" i="1"/>
  <c r="F20" i="1"/>
  <c r="I21" i="1"/>
  <c r="K21" i="1" s="1"/>
  <c r="L21" i="1" s="1"/>
  <c r="M21" i="1" s="1"/>
  <c r="H26" i="1"/>
  <c r="F36" i="1"/>
  <c r="I37" i="1"/>
  <c r="K37" i="1" s="1"/>
  <c r="L37" i="1" s="1"/>
  <c r="M37" i="1" s="1"/>
  <c r="H42" i="1"/>
  <c r="J21" i="1"/>
  <c r="F25" i="1"/>
  <c r="H31" i="1"/>
  <c r="J37" i="1"/>
  <c r="F41" i="1"/>
  <c r="H20" i="1"/>
  <c r="F30" i="1"/>
  <c r="H36" i="1"/>
  <c r="H7" i="1"/>
  <c r="H13" i="1"/>
  <c r="F19" i="1"/>
  <c r="H25" i="1"/>
  <c r="F35" i="1"/>
  <c r="H41" i="1"/>
  <c r="I17" i="1"/>
  <c r="F24" i="1"/>
  <c r="H30" i="1"/>
  <c r="F40" i="1"/>
  <c r="H12" i="1"/>
  <c r="F18" i="1"/>
  <c r="H19" i="1"/>
  <c r="F29" i="1"/>
  <c r="H35" i="1"/>
  <c r="H24" i="1"/>
  <c r="F34" i="1"/>
  <c r="H40" i="1"/>
  <c r="H11" i="1"/>
  <c r="F17" i="1"/>
  <c r="H18" i="1"/>
  <c r="F23" i="1"/>
  <c r="O16" i="1" l="1"/>
  <c r="P16" i="1" s="1"/>
  <c r="N16" i="1"/>
  <c r="S16" i="1" s="1"/>
  <c r="O15" i="1"/>
  <c r="P15" i="1" s="1"/>
  <c r="N15" i="1"/>
  <c r="S15" i="1" s="1"/>
  <c r="O39" i="1"/>
  <c r="P39" i="1" s="1"/>
  <c r="N39" i="1"/>
  <c r="S39" i="1" s="1"/>
  <c r="O33" i="1"/>
  <c r="P33" i="1" s="1"/>
  <c r="N33" i="1"/>
  <c r="S33" i="1" s="1"/>
  <c r="O28" i="1"/>
  <c r="P28" i="1" s="1"/>
  <c r="N28" i="1"/>
  <c r="S28" i="1" s="1"/>
  <c r="O9" i="1"/>
  <c r="P9" i="1" s="1"/>
  <c r="N9" i="1"/>
  <c r="S9" i="1" s="1"/>
  <c r="O37" i="1"/>
  <c r="P37" i="1" s="1"/>
  <c r="N37" i="1"/>
  <c r="S37" i="1" s="1"/>
  <c r="O21" i="1"/>
  <c r="P21" i="1" s="1"/>
  <c r="N21" i="1"/>
  <c r="S21" i="1" s="1"/>
  <c r="O29" i="1"/>
  <c r="P29" i="1" s="1"/>
  <c r="N29" i="1"/>
  <c r="N17" i="1"/>
  <c r="O17" i="1"/>
  <c r="P17" i="1" s="1"/>
  <c r="J30" i="1"/>
  <c r="I30" i="1"/>
  <c r="K30" i="1" s="1"/>
  <c r="L30" i="1" s="1"/>
  <c r="M30" i="1" s="1"/>
  <c r="N5" i="1"/>
  <c r="S5" i="1" s="1"/>
  <c r="O5" i="1"/>
  <c r="P5" i="1" s="1"/>
  <c r="O22" i="1"/>
  <c r="P22" i="1" s="1"/>
  <c r="N22" i="1"/>
  <c r="S22" i="1" s="1"/>
  <c r="J11" i="1"/>
  <c r="I11" i="1"/>
  <c r="K11" i="1" s="1"/>
  <c r="L11" i="1" s="1"/>
  <c r="M11" i="1" s="1"/>
  <c r="I40" i="1"/>
  <c r="J40" i="1"/>
  <c r="K40" i="1" s="1"/>
  <c r="L40" i="1" s="1"/>
  <c r="M40" i="1" s="1"/>
  <c r="J13" i="1"/>
  <c r="I13" i="1"/>
  <c r="K13" i="1" s="1"/>
  <c r="L13" i="1" s="1"/>
  <c r="M13" i="1" s="1"/>
  <c r="J14" i="1"/>
  <c r="I14" i="1"/>
  <c r="K14" i="1" s="1"/>
  <c r="L14" i="1" s="1"/>
  <c r="M14" i="1" s="1"/>
  <c r="J19" i="1"/>
  <c r="I19" i="1"/>
  <c r="K19" i="1" s="1"/>
  <c r="L19" i="1" s="1"/>
  <c r="M19" i="1" s="1"/>
  <c r="J31" i="1"/>
  <c r="I31" i="1"/>
  <c r="K31" i="1" s="1"/>
  <c r="L31" i="1" s="1"/>
  <c r="M31" i="1" s="1"/>
  <c r="J18" i="1"/>
  <c r="I18" i="1"/>
  <c r="K18" i="1" s="1"/>
  <c r="L18" i="1" s="1"/>
  <c r="M18" i="1" s="1"/>
  <c r="J27" i="1"/>
  <c r="I27" i="1"/>
  <c r="K27" i="1" s="1"/>
  <c r="L27" i="1" s="1"/>
  <c r="M27" i="1" s="1"/>
  <c r="J8" i="1"/>
  <c r="I8" i="1"/>
  <c r="K8" i="1"/>
  <c r="L8" i="1" s="1"/>
  <c r="M8" i="1" s="1"/>
  <c r="J12" i="1"/>
  <c r="I12" i="1"/>
  <c r="K12" i="1" s="1"/>
  <c r="L12" i="1" s="1"/>
  <c r="M12" i="1" s="1"/>
  <c r="J26" i="1"/>
  <c r="I26" i="1"/>
  <c r="K26" i="1" s="1"/>
  <c r="L26" i="1" s="1"/>
  <c r="M26" i="1" s="1"/>
  <c r="J42" i="1"/>
  <c r="I42" i="1"/>
  <c r="K42" i="1" s="1"/>
  <c r="L42" i="1" s="1"/>
  <c r="M42" i="1" s="1"/>
  <c r="S17" i="1"/>
  <c r="J25" i="1"/>
  <c r="I25" i="1"/>
  <c r="K25" i="1" s="1"/>
  <c r="L25" i="1" s="1"/>
  <c r="M25" i="1" s="1"/>
  <c r="S34" i="1"/>
  <c r="J7" i="1"/>
  <c r="I7" i="1"/>
  <c r="K7" i="1" s="1"/>
  <c r="L7" i="1" s="1"/>
  <c r="M7" i="1" s="1"/>
  <c r="I24" i="1"/>
  <c r="J24" i="1"/>
  <c r="K24" i="1" s="1"/>
  <c r="L24" i="1" s="1"/>
  <c r="M24" i="1" s="1"/>
  <c r="J35" i="1"/>
  <c r="I35" i="1"/>
  <c r="K35" i="1"/>
  <c r="L35" i="1" s="1"/>
  <c r="M35" i="1" s="1"/>
  <c r="J38" i="1"/>
  <c r="I38" i="1"/>
  <c r="K38" i="1" s="1"/>
  <c r="L38" i="1" s="1"/>
  <c r="M38" i="1" s="1"/>
  <c r="O23" i="1"/>
  <c r="P23" i="1" s="1"/>
  <c r="N23" i="1"/>
  <c r="S23" i="1" s="1"/>
  <c r="O10" i="1"/>
  <c r="P10" i="1" s="1"/>
  <c r="N10" i="1"/>
  <c r="S10" i="1" s="1"/>
  <c r="J43" i="1"/>
  <c r="I43" i="1"/>
  <c r="K43" i="1" s="1"/>
  <c r="L43" i="1" s="1"/>
  <c r="M43" i="1" s="1"/>
  <c r="J41" i="1"/>
  <c r="I41" i="1"/>
  <c r="K41" i="1" s="1"/>
  <c r="L41" i="1" s="1"/>
  <c r="M41" i="1" s="1"/>
  <c r="J36" i="1"/>
  <c r="I36" i="1"/>
  <c r="K36" i="1" s="1"/>
  <c r="L36" i="1" s="1"/>
  <c r="M36" i="1" s="1"/>
  <c r="S29" i="1"/>
  <c r="J20" i="1"/>
  <c r="I20" i="1"/>
  <c r="K20" i="1" s="1"/>
  <c r="L20" i="1" s="1"/>
  <c r="M20" i="1" s="1"/>
  <c r="K32" i="1"/>
  <c r="L32" i="1" s="1"/>
  <c r="M32" i="1" s="1"/>
  <c r="J32" i="1"/>
  <c r="I32" i="1"/>
  <c r="O27" i="1" l="1"/>
  <c r="P27" i="1" s="1"/>
  <c r="N27" i="1"/>
  <c r="S27" i="1" s="1"/>
  <c r="O36" i="1"/>
  <c r="P36" i="1" s="1"/>
  <c r="N36" i="1"/>
  <c r="S36" i="1" s="1"/>
  <c r="O20" i="1"/>
  <c r="P20" i="1" s="1"/>
  <c r="N20" i="1"/>
  <c r="S20" i="1" s="1"/>
  <c r="O11" i="1"/>
  <c r="P11" i="1" s="1"/>
  <c r="N11" i="1"/>
  <c r="S11" i="1" s="1"/>
  <c r="N12" i="1"/>
  <c r="S12" i="1" s="1"/>
  <c r="O12" i="1"/>
  <c r="P12" i="1" s="1"/>
  <c r="O24" i="1"/>
  <c r="P24" i="1" s="1"/>
  <c r="N24" i="1"/>
  <c r="S24" i="1" s="1"/>
  <c r="O18" i="1"/>
  <c r="P18" i="1" s="1"/>
  <c r="N18" i="1"/>
  <c r="S18" i="1" s="1"/>
  <c r="N19" i="1"/>
  <c r="S19" i="1" s="1"/>
  <c r="O19" i="1"/>
  <c r="P19" i="1" s="1"/>
  <c r="O13" i="1"/>
  <c r="P13" i="1" s="1"/>
  <c r="N13" i="1"/>
  <c r="S13" i="1" s="1"/>
  <c r="O7" i="1"/>
  <c r="P7" i="1" s="1"/>
  <c r="N7" i="1"/>
  <c r="S7" i="1" s="1"/>
  <c r="O43" i="1"/>
  <c r="P43" i="1" s="1"/>
  <c r="N43" i="1"/>
  <c r="S43" i="1" s="1"/>
  <c r="N31" i="1"/>
  <c r="S31" i="1" s="1"/>
  <c r="O31" i="1"/>
  <c r="P31" i="1" s="1"/>
  <c r="O14" i="1"/>
  <c r="P14" i="1" s="1"/>
  <c r="N14" i="1"/>
  <c r="S14" i="1" s="1"/>
  <c r="O38" i="1"/>
  <c r="P38" i="1" s="1"/>
  <c r="N38" i="1"/>
  <c r="S38" i="1" s="1"/>
  <c r="O40" i="1"/>
  <c r="P40" i="1" s="1"/>
  <c r="N40" i="1"/>
  <c r="S40" i="1" s="1"/>
  <c r="N41" i="1"/>
  <c r="S41" i="1" s="1"/>
  <c r="O41" i="1"/>
  <c r="P41" i="1" s="1"/>
  <c r="O25" i="1"/>
  <c r="P25" i="1" s="1"/>
  <c r="N25" i="1"/>
  <c r="S25" i="1" s="1"/>
  <c r="N30" i="1"/>
  <c r="S30" i="1" s="1"/>
  <c r="O30" i="1"/>
  <c r="P30" i="1" s="1"/>
  <c r="O42" i="1"/>
  <c r="P42" i="1" s="1"/>
  <c r="N42" i="1"/>
  <c r="S42" i="1" s="1"/>
  <c r="O26" i="1"/>
  <c r="P26" i="1" s="1"/>
  <c r="N26" i="1"/>
  <c r="S26" i="1" s="1"/>
  <c r="O32" i="1"/>
  <c r="P32" i="1" s="1"/>
  <c r="N32" i="1"/>
  <c r="S32" i="1" s="1"/>
  <c r="O8" i="1"/>
  <c r="P8" i="1" s="1"/>
  <c r="N8" i="1"/>
  <c r="S8" i="1" s="1"/>
  <c r="B17" i="1" s="1"/>
  <c r="O35" i="1"/>
  <c r="P35" i="1" s="1"/>
  <c r="N35" i="1"/>
  <c r="S35" i="1" s="1"/>
  <c r="B16" i="1" l="1"/>
  <c r="B18" i="1" s="1"/>
  <c r="B19" i="1" s="1"/>
</calcChain>
</file>

<file path=xl/sharedStrings.xml><?xml version="1.0" encoding="utf-8"?>
<sst xmlns="http://schemas.openxmlformats.org/spreadsheetml/2006/main" count="35" uniqueCount="34">
  <si>
    <t>Inputs</t>
  </si>
  <si>
    <t>R1 (ohm)</t>
  </si>
  <si>
    <t>R1&lt;=limit?</t>
  </si>
  <si>
    <t>100-200 range?</t>
  </si>
  <si>
    <t>Ideal R2</t>
  </si>
  <si>
    <t>E96 below</t>
  </si>
  <si>
    <t>E96 above</t>
  </si>
  <si>
    <t>Chosen R2</t>
  </si>
  <si>
    <t>Actual R2/R1</t>
  </si>
  <si>
    <t>V_OUT eq (V)</t>
  </si>
  <si>
    <t>Err vs 3.3</t>
  </si>
  <si>
    <t>V_OUT incl I_ADJ</t>
  </si>
  <si>
    <t>Err incl</t>
  </si>
  <si>
    <t>Divider I (mA)</t>
  </si>
  <si>
    <t>|err| if R1 ok</t>
  </si>
  <si>
    <t>V_REF (V)</t>
  </si>
  <si>
    <t>7.5 p.5 typ</t>
  </si>
  <si>
    <t>V_OUT target (V)</t>
  </si>
  <si>
    <t>Section 1</t>
  </si>
  <si>
    <t>Min load current max (A)</t>
  </si>
  <si>
    <t>7.5 p.6 ADJ, over temp</t>
  </si>
  <si>
    <t>Adjust pin current typ (A)</t>
  </si>
  <si>
    <t>7.5 p.6 typ</t>
  </si>
  <si>
    <t>Adjust pin current max (A)</t>
  </si>
  <si>
    <t>7.5 p.6 max</t>
  </si>
  <si>
    <t>Derived</t>
  </si>
  <si>
    <t>Target ratio R2/R1 = V_OUT/V_REF - 1</t>
  </si>
  <si>
    <t>Largest allowed R1 = V_REF / I_min_load (ohm)</t>
  </si>
  <si>
    <t>Best pair</t>
  </si>
  <si>
    <t>R2 (ohm)</t>
  </si>
  <si>
    <t>V_OUT (V)</t>
  </si>
  <si>
    <t>Error vs 3.3V</t>
  </si>
  <si>
    <t>E96 value (ohm)</t>
  </si>
  <si>
    <t>LM1117-ADJ output divider. Finding the best E96 resistor(s)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</si>
</sst>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"/>
    <numFmt numFmtId="165" formatCode="0.000"/>
    <numFmt numFmtId="166" formatCode="0.0000"/>
    <numFmt numFmtId="167" formatCode="0.0"/>
    <numFmt numFmtId="168" formatCode="\+0.00%;\-0.00%;0.00%"/>
    <numFmt numFmtId="169" formatCode="0.0000%"/>
  </numFmts>
  <fonts count="7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color rgb="FF0000FF"/>
      <name val="Arial"/>
    </font>
    <font>
      <b/>
      <sz val="14"/>
      <name val="Arial"/>
    </font>
    <font>
      <i/>
      <sz val="9"/>
      <color rgb="FF666666"/>
      <name val="Arial"/>
    </font>
    <font>
      <sz val="10"/>
      <name val="Arial"/>
    </font>
    <font>
      <sz val="8"/>
      <color rgb="FF999999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6" fillId="0" borderId="0" xfId="0" applyFont="1"/>
    <xf numFmtId="0" fontId="5" fillId="0" borderId="0" xfId="0" applyFont="1"/>
    <xf numFmtId="0" fontId="2" fillId="2" borderId="1" xfId="0" applyFont="1" applyFill="1" applyBorder="1"/>
    <xf numFmtId="0" fontId="2" fillId="0" borderId="1" xfId="0" applyFont="1" applyBorder="1"/>
    <xf numFmtId="0" fontId="5" fillId="0" borderId="1" xfId="0" applyFont="1" applyBorder="1"/>
    <xf numFmtId="167" fontId="5" fillId="0" borderId="1" xfId="0" applyNumberFormat="1" applyFont="1" applyBorder="1"/>
    <xf numFmtId="166" fontId="5" fillId="0" borderId="1" xfId="0" applyNumberFormat="1" applyFont="1" applyBorder="1"/>
    <xf numFmtId="168" fontId="5" fillId="0" borderId="1" xfId="0" applyNumberFormat="1" applyFont="1" applyBorder="1"/>
    <xf numFmtId="2" fontId="5" fillId="0" borderId="1" xfId="0" applyNumberFormat="1" applyFont="1" applyBorder="1"/>
    <xf numFmtId="169" fontId="6" fillId="0" borderId="0" xfId="0" applyNumberFormat="1" applyFont="1"/>
    <xf numFmtId="165" fontId="2" fillId="2" borderId="1" xfId="0" applyNumberFormat="1" applyFont="1" applyFill="1" applyBorder="1"/>
    <xf numFmtId="164" fontId="2" fillId="2" borderId="1" xfId="0" applyNumberFormat="1" applyFont="1" applyFill="1" applyBorder="1"/>
    <xf numFmtId="166" fontId="1" fillId="0" borderId="1" xfId="0" applyNumberFormat="1" applyFont="1" applyBorder="1"/>
    <xf numFmtId="167" fontId="1" fillId="0" borderId="1" xfId="0" applyNumberFormat="1" applyFont="1" applyBorder="1"/>
    <xf numFmtId="0" fontId="1" fillId="0" borderId="1" xfId="0" applyFont="1" applyBorder="1"/>
    <xf numFmtId="168" fontId="1" fillId="0" borderId="1" xfId="0" applyNumberFormat="1" applyFont="1" applyBorder="1"/>
    <xf numFmtId="0" fontId="2" fillId="0" borderId="0" xfId="0" applyFont="1"/>
    <xf numFmtId="0" fontId="4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2">
    <dxf>
      <fill>
        <patternFill patternType="solid">
          <fgColor rgb="FFF8CBAD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3"/>
  <sheetViews>
    <sheetView tabSelected="1" workbookViewId="0">
      <pane xSplit="4" ySplit="4" topLeftCell="H5" activePane="bottomRight" state="frozen"/>
      <selection pane="topRight"/>
      <selection pane="bottomLeft"/>
      <selection pane="bottomRight" activeCell="C6" sqref="C6"/>
    </sheetView>
  </sheetViews>
  <sheetFormatPr defaultRowHeight="14.5" x14ac:dyDescent="0.35"/>
  <cols>
    <col min="1" max="1" width="32" customWidth="1"/>
    <col min="2" max="2" width="12" customWidth="1"/>
    <col min="3" max="3" width="3" customWidth="1"/>
    <col min="5" max="6" width="10" customWidth="1"/>
    <col min="7" max="7" width="13" customWidth="1"/>
    <col min="8" max="10" width="9" customWidth="1"/>
    <col min="11" max="11" width="10" customWidth="1"/>
    <col min="12" max="13" width="11" customWidth="1"/>
    <col min="14" max="14" width="10" customWidth="1"/>
    <col min="15" max="15" width="13" customWidth="1"/>
    <col min="16" max="16" width="10" customWidth="1"/>
    <col min="17" max="17" width="11" customWidth="1"/>
    <col min="19" max="19" width="12" customWidth="1"/>
  </cols>
  <sheetData>
    <row r="1" spans="1:19" ht="18" x14ac:dyDescent="0.4">
      <c r="A1" s="1" t="s">
        <v>33</v>
      </c>
    </row>
    <row r="2" spans="1:19" x14ac:dyDescent="0.35">
      <c r="A2" s="2"/>
    </row>
    <row r="4" spans="1:19" ht="42" customHeight="1" x14ac:dyDescent="0.35">
      <c r="A4" s="3" t="s">
        <v>0</v>
      </c>
      <c r="E4" s="4" t="s">
        <v>1</v>
      </c>
      <c r="F4" s="4" t="s">
        <v>2</v>
      </c>
      <c r="G4" s="4" t="s">
        <v>3</v>
      </c>
      <c r="H4" s="4" t="s">
        <v>4</v>
      </c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4" t="s">
        <v>10</v>
      </c>
      <c r="O4" s="4" t="s">
        <v>11</v>
      </c>
      <c r="P4" s="4" t="s">
        <v>12</v>
      </c>
      <c r="Q4" s="4" t="s">
        <v>13</v>
      </c>
      <c r="S4" s="5" t="s">
        <v>14</v>
      </c>
    </row>
    <row r="5" spans="1:19" x14ac:dyDescent="0.35">
      <c r="A5" s="6" t="s">
        <v>15</v>
      </c>
      <c r="B5" s="7">
        <v>1.25</v>
      </c>
      <c r="C5" s="2" t="s">
        <v>16</v>
      </c>
      <c r="E5" s="8">
        <v>100</v>
      </c>
      <c r="F5" s="9" t="str">
        <f t="shared" ref="F5:F43" si="0">IF(E5&lt;=$B$13,"yes","NO")</f>
        <v>yes</v>
      </c>
      <c r="G5" s="9" t="str">
        <f t="shared" ref="G5:G43" si="1">IF(AND(E5&gt;=100,E5&lt;=200),"yes","no")</f>
        <v>yes</v>
      </c>
      <c r="H5" s="10">
        <f t="shared" ref="H5:H43" si="2">E5*$B$12</f>
        <v>163.99999999999997</v>
      </c>
      <c r="I5" s="9">
        <f>INDEX('E96'!$A$2:$A$98,MATCH(H5,'E96'!$A$2:$A$98,1))</f>
        <v>162</v>
      </c>
      <c r="J5" s="9">
        <f>INDEX('E96'!$A$2:$A$98,MATCH(H5,'E96'!$A$2:$A$98,1)+1)</f>
        <v>165</v>
      </c>
      <c r="K5" s="9">
        <f t="shared" ref="K5:K43" si="3">IF(H5-I5&lt;=J5-H5,I5,J5)</f>
        <v>165</v>
      </c>
      <c r="L5" s="11">
        <f t="shared" ref="L5:L43" si="4">K5/E5</f>
        <v>1.65</v>
      </c>
      <c r="M5" s="11">
        <f t="shared" ref="M5:M43" si="5">$B$5*(1+L5)</f>
        <v>3.3125</v>
      </c>
      <c r="N5" s="12">
        <f t="shared" ref="N5:N43" si="6">M5/$B$6-1</f>
        <v>3.7878787878788955E-3</v>
      </c>
      <c r="O5" s="11">
        <f t="shared" ref="O5:O43" si="7">M5+$B$8*K5</f>
        <v>3.3224</v>
      </c>
      <c r="P5" s="12">
        <f t="shared" ref="P5:P43" si="8">O5/$B$6-1</f>
        <v>6.7878787878787872E-3</v>
      </c>
      <c r="Q5" s="13">
        <f t="shared" ref="Q5:Q43" si="9">$B$5/E5*1000</f>
        <v>12.5</v>
      </c>
      <c r="S5" s="14">
        <f t="shared" ref="S5:S43" si="10">IF(F5="yes",ABS(N5),9)</f>
        <v>3.7878787878788955E-3</v>
      </c>
    </row>
    <row r="6" spans="1:19" x14ac:dyDescent="0.35">
      <c r="A6" s="6" t="s">
        <v>17</v>
      </c>
      <c r="B6" s="7">
        <v>3.3</v>
      </c>
      <c r="C6" s="2" t="s">
        <v>18</v>
      </c>
      <c r="E6" s="8">
        <v>102</v>
      </c>
      <c r="F6" s="9" t="str">
        <f t="shared" si="0"/>
        <v>yes</v>
      </c>
      <c r="G6" s="9" t="str">
        <f t="shared" si="1"/>
        <v>yes</v>
      </c>
      <c r="H6" s="10">
        <f t="shared" si="2"/>
        <v>167.27999999999997</v>
      </c>
      <c r="I6" s="9">
        <f>INDEX('E96'!$A$2:$A$98,MATCH(H6,'E96'!$A$2:$A$98,1))</f>
        <v>165</v>
      </c>
      <c r="J6" s="9">
        <f>INDEX('E96'!$A$2:$A$98,MATCH(H6,'E96'!$A$2:$A$98,1)+1)</f>
        <v>169</v>
      </c>
      <c r="K6" s="9">
        <f t="shared" si="3"/>
        <v>169</v>
      </c>
      <c r="L6" s="11">
        <f t="shared" si="4"/>
        <v>1.6568627450980393</v>
      </c>
      <c r="M6" s="11">
        <f t="shared" si="5"/>
        <v>3.3210784313725492</v>
      </c>
      <c r="N6" s="12">
        <f t="shared" si="6"/>
        <v>6.3874034462270135E-3</v>
      </c>
      <c r="O6" s="11">
        <f t="shared" si="7"/>
        <v>3.331218431372549</v>
      </c>
      <c r="P6" s="12">
        <f t="shared" si="8"/>
        <v>9.4601307189543515E-3</v>
      </c>
      <c r="Q6" s="13">
        <f t="shared" si="9"/>
        <v>12.254901960784313</v>
      </c>
      <c r="S6" s="14">
        <f t="shared" si="10"/>
        <v>6.3874034462270135E-3</v>
      </c>
    </row>
    <row r="7" spans="1:19" x14ac:dyDescent="0.35">
      <c r="A7" s="6" t="s">
        <v>19</v>
      </c>
      <c r="B7" s="15">
        <v>5.0000000000000001E-3</v>
      </c>
      <c r="C7" s="2" t="s">
        <v>20</v>
      </c>
      <c r="E7" s="8">
        <v>105</v>
      </c>
      <c r="F7" s="9" t="str">
        <f t="shared" si="0"/>
        <v>yes</v>
      </c>
      <c r="G7" s="9" t="str">
        <f t="shared" si="1"/>
        <v>yes</v>
      </c>
      <c r="H7" s="10">
        <f t="shared" si="2"/>
        <v>172.19999999999996</v>
      </c>
      <c r="I7" s="9">
        <f>INDEX('E96'!$A$2:$A$98,MATCH(H7,'E96'!$A$2:$A$98,1))</f>
        <v>169</v>
      </c>
      <c r="J7" s="9">
        <f>INDEX('E96'!$A$2:$A$98,MATCH(H7,'E96'!$A$2:$A$98,1)+1)</f>
        <v>174</v>
      </c>
      <c r="K7" s="9">
        <f t="shared" si="3"/>
        <v>174</v>
      </c>
      <c r="L7" s="11">
        <f t="shared" si="4"/>
        <v>1.6571428571428573</v>
      </c>
      <c r="M7" s="11">
        <f t="shared" si="5"/>
        <v>3.3214285714285721</v>
      </c>
      <c r="N7" s="12">
        <f t="shared" si="6"/>
        <v>6.4935064935067732E-3</v>
      </c>
      <c r="O7" s="11">
        <f t="shared" si="7"/>
        <v>3.3318685714285721</v>
      </c>
      <c r="P7" s="12">
        <f t="shared" si="8"/>
        <v>9.6571428571430307E-3</v>
      </c>
      <c r="Q7" s="13">
        <f t="shared" si="9"/>
        <v>11.904761904761903</v>
      </c>
      <c r="S7" s="14">
        <f t="shared" si="10"/>
        <v>6.4935064935067732E-3</v>
      </c>
    </row>
    <row r="8" spans="1:19" x14ac:dyDescent="0.35">
      <c r="A8" s="6" t="s">
        <v>21</v>
      </c>
      <c r="B8" s="16">
        <v>6.0000000000000002E-5</v>
      </c>
      <c r="C8" s="2" t="s">
        <v>22</v>
      </c>
      <c r="E8" s="8">
        <v>107</v>
      </c>
      <c r="F8" s="9" t="str">
        <f t="shared" si="0"/>
        <v>yes</v>
      </c>
      <c r="G8" s="9" t="str">
        <f t="shared" si="1"/>
        <v>yes</v>
      </c>
      <c r="H8" s="10">
        <f t="shared" si="2"/>
        <v>175.47999999999996</v>
      </c>
      <c r="I8" s="9">
        <f>INDEX('E96'!$A$2:$A$98,MATCH(H8,'E96'!$A$2:$A$98,1))</f>
        <v>174</v>
      </c>
      <c r="J8" s="9">
        <f>INDEX('E96'!$A$2:$A$98,MATCH(H8,'E96'!$A$2:$A$98,1)+1)</f>
        <v>178</v>
      </c>
      <c r="K8" s="9">
        <f t="shared" si="3"/>
        <v>174</v>
      </c>
      <c r="L8" s="11">
        <f t="shared" si="4"/>
        <v>1.6261682242990654</v>
      </c>
      <c r="M8" s="11">
        <f t="shared" si="5"/>
        <v>3.2827102803738315</v>
      </c>
      <c r="N8" s="12">
        <f t="shared" si="6"/>
        <v>-5.2393089776268109E-3</v>
      </c>
      <c r="O8" s="11">
        <f t="shared" si="7"/>
        <v>3.2931502803738315</v>
      </c>
      <c r="P8" s="12">
        <f t="shared" si="8"/>
        <v>-2.0756726139904424E-3</v>
      </c>
      <c r="Q8" s="13">
        <f t="shared" si="9"/>
        <v>11.682242990654204</v>
      </c>
      <c r="S8" s="14">
        <f t="shared" si="10"/>
        <v>5.2393089776268109E-3</v>
      </c>
    </row>
    <row r="9" spans="1:19" x14ac:dyDescent="0.35">
      <c r="A9" s="6" t="s">
        <v>23</v>
      </c>
      <c r="B9" s="16">
        <v>1.2E-4</v>
      </c>
      <c r="C9" s="2" t="s">
        <v>24</v>
      </c>
      <c r="E9" s="8">
        <v>110</v>
      </c>
      <c r="F9" s="9" t="str">
        <f t="shared" si="0"/>
        <v>yes</v>
      </c>
      <c r="G9" s="9" t="str">
        <f t="shared" si="1"/>
        <v>yes</v>
      </c>
      <c r="H9" s="10">
        <f t="shared" si="2"/>
        <v>180.39999999999998</v>
      </c>
      <c r="I9" s="9">
        <f>INDEX('E96'!$A$2:$A$98,MATCH(H9,'E96'!$A$2:$A$98,1))</f>
        <v>178</v>
      </c>
      <c r="J9" s="9">
        <f>INDEX('E96'!$A$2:$A$98,MATCH(H9,'E96'!$A$2:$A$98,1)+1)</f>
        <v>182</v>
      </c>
      <c r="K9" s="9">
        <f t="shared" si="3"/>
        <v>182</v>
      </c>
      <c r="L9" s="11">
        <f t="shared" si="4"/>
        <v>1.6545454545454545</v>
      </c>
      <c r="M9" s="11">
        <f t="shared" si="5"/>
        <v>3.3181818181818179</v>
      </c>
      <c r="N9" s="12">
        <f t="shared" si="6"/>
        <v>5.5096418732782926E-3</v>
      </c>
      <c r="O9" s="11">
        <f t="shared" si="7"/>
        <v>3.3291018181818179</v>
      </c>
      <c r="P9" s="12">
        <f t="shared" si="8"/>
        <v>8.8187327823692208E-3</v>
      </c>
      <c r="Q9" s="13">
        <f t="shared" si="9"/>
        <v>11.363636363636363</v>
      </c>
      <c r="S9" s="14">
        <f t="shared" si="10"/>
        <v>5.5096418732782926E-3</v>
      </c>
    </row>
    <row r="10" spans="1:19" x14ac:dyDescent="0.35">
      <c r="E10" s="8">
        <v>113</v>
      </c>
      <c r="F10" s="9" t="str">
        <f t="shared" si="0"/>
        <v>yes</v>
      </c>
      <c r="G10" s="9" t="str">
        <f t="shared" si="1"/>
        <v>yes</v>
      </c>
      <c r="H10" s="10">
        <f t="shared" si="2"/>
        <v>185.31999999999996</v>
      </c>
      <c r="I10" s="9">
        <f>INDEX('E96'!$A$2:$A$98,MATCH(H10,'E96'!$A$2:$A$98,1))</f>
        <v>182</v>
      </c>
      <c r="J10" s="9">
        <f>INDEX('E96'!$A$2:$A$98,MATCH(H10,'E96'!$A$2:$A$98,1)+1)</f>
        <v>187</v>
      </c>
      <c r="K10" s="9">
        <f t="shared" si="3"/>
        <v>187</v>
      </c>
      <c r="L10" s="11">
        <f t="shared" si="4"/>
        <v>1.654867256637168</v>
      </c>
      <c r="M10" s="11">
        <f t="shared" si="5"/>
        <v>3.3185840707964598</v>
      </c>
      <c r="N10" s="12">
        <f t="shared" si="6"/>
        <v>5.6315366049879412E-3</v>
      </c>
      <c r="O10" s="11">
        <f t="shared" si="7"/>
        <v>3.3298040707964596</v>
      </c>
      <c r="P10" s="12">
        <f t="shared" si="8"/>
        <v>9.0315366049877888E-3</v>
      </c>
      <c r="Q10" s="13">
        <f t="shared" si="9"/>
        <v>11.061946902654867</v>
      </c>
      <c r="S10" s="14">
        <f t="shared" si="10"/>
        <v>5.6315366049879412E-3</v>
      </c>
    </row>
    <row r="11" spans="1:19" x14ac:dyDescent="0.35">
      <c r="A11" s="3" t="s">
        <v>25</v>
      </c>
      <c r="E11" s="8">
        <v>115</v>
      </c>
      <c r="F11" s="9" t="str">
        <f t="shared" si="0"/>
        <v>yes</v>
      </c>
      <c r="G11" s="9" t="str">
        <f t="shared" si="1"/>
        <v>yes</v>
      </c>
      <c r="H11" s="10">
        <f t="shared" si="2"/>
        <v>188.59999999999997</v>
      </c>
      <c r="I11" s="9">
        <f>INDEX('E96'!$A$2:$A$98,MATCH(H11,'E96'!$A$2:$A$98,1))</f>
        <v>187</v>
      </c>
      <c r="J11" s="9">
        <f>INDEX('E96'!$A$2:$A$98,MATCH(H11,'E96'!$A$2:$A$98,1)+1)</f>
        <v>191</v>
      </c>
      <c r="K11" s="9">
        <f t="shared" si="3"/>
        <v>187</v>
      </c>
      <c r="L11" s="11">
        <f t="shared" si="4"/>
        <v>1.6260869565217391</v>
      </c>
      <c r="M11" s="11">
        <f t="shared" si="5"/>
        <v>3.2826086956521738</v>
      </c>
      <c r="N11" s="12">
        <f t="shared" si="6"/>
        <v>-5.2700922266138983E-3</v>
      </c>
      <c r="O11" s="11">
        <f t="shared" si="7"/>
        <v>3.2938286956521736</v>
      </c>
      <c r="P11" s="12">
        <f t="shared" si="8"/>
        <v>-1.8700922266140507E-3</v>
      </c>
      <c r="Q11" s="13">
        <f t="shared" si="9"/>
        <v>10.869565217391305</v>
      </c>
      <c r="S11" s="14">
        <f t="shared" si="10"/>
        <v>5.2700922266138983E-3</v>
      </c>
    </row>
    <row r="12" spans="1:19" x14ac:dyDescent="0.35">
      <c r="A12" s="6" t="s">
        <v>26</v>
      </c>
      <c r="B12" s="17">
        <f>B6/B5-1</f>
        <v>1.6399999999999997</v>
      </c>
      <c r="E12" s="8">
        <v>118</v>
      </c>
      <c r="F12" s="9" t="str">
        <f t="shared" si="0"/>
        <v>yes</v>
      </c>
      <c r="G12" s="9" t="str">
        <f t="shared" si="1"/>
        <v>yes</v>
      </c>
      <c r="H12" s="10">
        <f t="shared" si="2"/>
        <v>193.51999999999995</v>
      </c>
      <c r="I12" s="9">
        <f>INDEX('E96'!$A$2:$A$98,MATCH(H12,'E96'!$A$2:$A$98,1))</f>
        <v>191</v>
      </c>
      <c r="J12" s="9">
        <f>INDEX('E96'!$A$2:$A$98,MATCH(H12,'E96'!$A$2:$A$98,1)+1)</f>
        <v>196</v>
      </c>
      <c r="K12" s="9">
        <f t="shared" si="3"/>
        <v>196</v>
      </c>
      <c r="L12" s="11">
        <f t="shared" si="4"/>
        <v>1.6610169491525424</v>
      </c>
      <c r="M12" s="11">
        <f t="shared" si="5"/>
        <v>3.3262711864406782</v>
      </c>
      <c r="N12" s="12">
        <f t="shared" si="6"/>
        <v>7.9609655880843455E-3</v>
      </c>
      <c r="O12" s="11">
        <f t="shared" si="7"/>
        <v>3.3380311864406784</v>
      </c>
      <c r="P12" s="12">
        <f t="shared" si="8"/>
        <v>1.1524601951720781E-2</v>
      </c>
      <c r="Q12" s="13">
        <f t="shared" si="9"/>
        <v>10.59322033898305</v>
      </c>
      <c r="S12" s="14">
        <f t="shared" si="10"/>
        <v>7.9609655880843455E-3</v>
      </c>
    </row>
    <row r="13" spans="1:19" x14ac:dyDescent="0.35">
      <c r="A13" s="6" t="s">
        <v>27</v>
      </c>
      <c r="B13" s="18">
        <f>B5/B7</f>
        <v>250</v>
      </c>
      <c r="E13" s="8">
        <v>121</v>
      </c>
      <c r="F13" s="9" t="str">
        <f t="shared" si="0"/>
        <v>yes</v>
      </c>
      <c r="G13" s="9" t="str">
        <f t="shared" si="1"/>
        <v>yes</v>
      </c>
      <c r="H13" s="10">
        <f t="shared" si="2"/>
        <v>198.43999999999997</v>
      </c>
      <c r="I13" s="9">
        <f>INDEX('E96'!$A$2:$A$98,MATCH(H13,'E96'!$A$2:$A$98,1))</f>
        <v>196</v>
      </c>
      <c r="J13" s="9">
        <f>INDEX('E96'!$A$2:$A$98,MATCH(H13,'E96'!$A$2:$A$98,1)+1)</f>
        <v>200</v>
      </c>
      <c r="K13" s="9">
        <f t="shared" si="3"/>
        <v>200</v>
      </c>
      <c r="L13" s="11">
        <f t="shared" si="4"/>
        <v>1.6528925619834711</v>
      </c>
      <c r="M13" s="11">
        <f t="shared" si="5"/>
        <v>3.3161157024793386</v>
      </c>
      <c r="N13" s="12">
        <f t="shared" si="6"/>
        <v>4.8835462058602896E-3</v>
      </c>
      <c r="O13" s="11">
        <f t="shared" si="7"/>
        <v>3.3281157024793386</v>
      </c>
      <c r="P13" s="12">
        <f t="shared" si="8"/>
        <v>8.5199098422239494E-3</v>
      </c>
      <c r="Q13" s="13">
        <f t="shared" si="9"/>
        <v>10.330578512396695</v>
      </c>
      <c r="S13" s="14">
        <f t="shared" si="10"/>
        <v>4.8835462058602896E-3</v>
      </c>
    </row>
    <row r="14" spans="1:19" x14ac:dyDescent="0.35">
      <c r="E14" s="8">
        <v>124</v>
      </c>
      <c r="F14" s="9" t="str">
        <f t="shared" si="0"/>
        <v>yes</v>
      </c>
      <c r="G14" s="9" t="str">
        <f t="shared" si="1"/>
        <v>yes</v>
      </c>
      <c r="H14" s="10">
        <f t="shared" si="2"/>
        <v>203.35999999999996</v>
      </c>
      <c r="I14" s="9">
        <f>INDEX('E96'!$A$2:$A$98,MATCH(H14,'E96'!$A$2:$A$98,1))</f>
        <v>200</v>
      </c>
      <c r="J14" s="9">
        <f>INDEX('E96'!$A$2:$A$98,MATCH(H14,'E96'!$A$2:$A$98,1)+1)</f>
        <v>205</v>
      </c>
      <c r="K14" s="9">
        <f t="shared" si="3"/>
        <v>205</v>
      </c>
      <c r="L14" s="11">
        <f t="shared" si="4"/>
        <v>1.653225806451613</v>
      </c>
      <c r="M14" s="11">
        <f t="shared" si="5"/>
        <v>3.316532258064516</v>
      </c>
      <c r="N14" s="12">
        <f t="shared" si="6"/>
        <v>5.0097751710656002E-3</v>
      </c>
      <c r="O14" s="11">
        <f t="shared" si="7"/>
        <v>3.3288322580645162</v>
      </c>
      <c r="P14" s="12">
        <f t="shared" si="8"/>
        <v>8.7370478983384015E-3</v>
      </c>
      <c r="Q14" s="13">
        <f t="shared" si="9"/>
        <v>10.080645161290322</v>
      </c>
      <c r="S14" s="14">
        <f t="shared" si="10"/>
        <v>5.0097751710656002E-3</v>
      </c>
    </row>
    <row r="15" spans="1:19" x14ac:dyDescent="0.35">
      <c r="A15" s="3" t="s">
        <v>28</v>
      </c>
      <c r="E15" s="8">
        <v>127</v>
      </c>
      <c r="F15" s="9" t="str">
        <f t="shared" si="0"/>
        <v>yes</v>
      </c>
      <c r="G15" s="9" t="str">
        <f t="shared" si="1"/>
        <v>yes</v>
      </c>
      <c r="H15" s="10">
        <f t="shared" si="2"/>
        <v>208.27999999999997</v>
      </c>
      <c r="I15" s="9">
        <f>INDEX('E96'!$A$2:$A$98,MATCH(H15,'E96'!$A$2:$A$98,1))</f>
        <v>205</v>
      </c>
      <c r="J15" s="9">
        <f>INDEX('E96'!$A$2:$A$98,MATCH(H15,'E96'!$A$2:$A$98,1)+1)</f>
        <v>210</v>
      </c>
      <c r="K15" s="9">
        <f t="shared" si="3"/>
        <v>210</v>
      </c>
      <c r="L15" s="11">
        <f t="shared" si="4"/>
        <v>1.6535433070866141</v>
      </c>
      <c r="M15" s="11">
        <f t="shared" si="5"/>
        <v>3.3169291338582676</v>
      </c>
      <c r="N15" s="12">
        <f t="shared" si="6"/>
        <v>5.1300405631113932E-3</v>
      </c>
      <c r="O15" s="11">
        <f t="shared" si="7"/>
        <v>3.3295291338582675</v>
      </c>
      <c r="P15" s="12">
        <f t="shared" si="8"/>
        <v>8.9482223812933359E-3</v>
      </c>
      <c r="Q15" s="13">
        <f t="shared" si="9"/>
        <v>9.8425196850393704</v>
      </c>
      <c r="S15" s="14">
        <f t="shared" si="10"/>
        <v>5.1300405631113932E-3</v>
      </c>
    </row>
    <row r="16" spans="1:19" x14ac:dyDescent="0.35">
      <c r="A16" s="6" t="s">
        <v>1</v>
      </c>
      <c r="B16" s="19">
        <f>INDEX(E5:E43,MATCH(MIN(S5:S43),S5:S43,0))</f>
        <v>162</v>
      </c>
      <c r="E16" s="8">
        <v>130</v>
      </c>
      <c r="F16" s="9" t="str">
        <f t="shared" si="0"/>
        <v>yes</v>
      </c>
      <c r="G16" s="9" t="str">
        <f t="shared" si="1"/>
        <v>yes</v>
      </c>
      <c r="H16" s="10">
        <f t="shared" si="2"/>
        <v>213.19999999999996</v>
      </c>
      <c r="I16" s="9">
        <f>INDEX('E96'!$A$2:$A$98,MATCH(H16,'E96'!$A$2:$A$98,1))</f>
        <v>210</v>
      </c>
      <c r="J16" s="9">
        <f>INDEX('E96'!$A$2:$A$98,MATCH(H16,'E96'!$A$2:$A$98,1)+1)</f>
        <v>215</v>
      </c>
      <c r="K16" s="9">
        <f t="shared" si="3"/>
        <v>215</v>
      </c>
      <c r="L16" s="11">
        <f t="shared" si="4"/>
        <v>1.6538461538461537</v>
      </c>
      <c r="M16" s="11">
        <f t="shared" si="5"/>
        <v>3.3173076923076921</v>
      </c>
      <c r="N16" s="12">
        <f t="shared" si="6"/>
        <v>5.2447552447552059E-3</v>
      </c>
      <c r="O16" s="11">
        <f t="shared" si="7"/>
        <v>3.3302076923076922</v>
      </c>
      <c r="P16" s="12">
        <f t="shared" si="8"/>
        <v>9.153846153846068E-3</v>
      </c>
      <c r="Q16" s="13">
        <f t="shared" si="9"/>
        <v>9.6153846153846168</v>
      </c>
      <c r="S16" s="14">
        <f t="shared" si="10"/>
        <v>5.2447552447552059E-3</v>
      </c>
    </row>
    <row r="17" spans="1:19" x14ac:dyDescent="0.35">
      <c r="A17" s="6" t="s">
        <v>29</v>
      </c>
      <c r="B17" s="19">
        <f>INDEX(K5:K43,MATCH(MIN(S5:S43),S5:S43,0))</f>
        <v>267</v>
      </c>
      <c r="E17" s="8">
        <v>133</v>
      </c>
      <c r="F17" s="9" t="str">
        <f t="shared" si="0"/>
        <v>yes</v>
      </c>
      <c r="G17" s="9" t="str">
        <f t="shared" si="1"/>
        <v>yes</v>
      </c>
      <c r="H17" s="10">
        <f t="shared" si="2"/>
        <v>218.11999999999995</v>
      </c>
      <c r="I17" s="9">
        <f>INDEX('E96'!$A$2:$A$98,MATCH(H17,'E96'!$A$2:$A$98,1))</f>
        <v>215</v>
      </c>
      <c r="J17" s="9">
        <f>INDEX('E96'!$A$2:$A$98,MATCH(H17,'E96'!$A$2:$A$98,1)+1)</f>
        <v>221</v>
      </c>
      <c r="K17" s="9">
        <f t="shared" si="3"/>
        <v>221</v>
      </c>
      <c r="L17" s="11">
        <f t="shared" si="4"/>
        <v>1.6616541353383458</v>
      </c>
      <c r="M17" s="11">
        <f t="shared" si="5"/>
        <v>3.3270676691729322</v>
      </c>
      <c r="N17" s="12">
        <f t="shared" si="6"/>
        <v>8.2023239917976554E-3</v>
      </c>
      <c r="O17" s="11">
        <f t="shared" si="7"/>
        <v>3.340327669172932</v>
      </c>
      <c r="P17" s="12">
        <f t="shared" si="8"/>
        <v>1.2220505809979354E-2</v>
      </c>
      <c r="Q17" s="13">
        <f t="shared" si="9"/>
        <v>9.3984962406015029</v>
      </c>
      <c r="S17" s="14">
        <f t="shared" si="10"/>
        <v>8.2023239917976554E-3</v>
      </c>
    </row>
    <row r="18" spans="1:19" x14ac:dyDescent="0.35">
      <c r="A18" s="6" t="s">
        <v>30</v>
      </c>
      <c r="B18" s="17">
        <f>$B$5*(1+B17/B16)</f>
        <v>3.3101851851851851</v>
      </c>
      <c r="E18" s="8">
        <v>137</v>
      </c>
      <c r="F18" s="9" t="str">
        <f t="shared" si="0"/>
        <v>yes</v>
      </c>
      <c r="G18" s="9" t="str">
        <f t="shared" si="1"/>
        <v>yes</v>
      </c>
      <c r="H18" s="10">
        <f t="shared" si="2"/>
        <v>224.67999999999995</v>
      </c>
      <c r="I18" s="9">
        <f>INDEX('E96'!$A$2:$A$98,MATCH(H18,'E96'!$A$2:$A$98,1))</f>
        <v>221</v>
      </c>
      <c r="J18" s="9">
        <f>INDEX('E96'!$A$2:$A$98,MATCH(H18,'E96'!$A$2:$A$98,1)+1)</f>
        <v>226</v>
      </c>
      <c r="K18" s="9">
        <f t="shared" si="3"/>
        <v>226</v>
      </c>
      <c r="L18" s="11">
        <f t="shared" si="4"/>
        <v>1.6496350364963503</v>
      </c>
      <c r="M18" s="11">
        <f t="shared" si="5"/>
        <v>3.312043795620438</v>
      </c>
      <c r="N18" s="12">
        <f t="shared" si="6"/>
        <v>3.6496350364965124E-3</v>
      </c>
      <c r="O18" s="11">
        <f t="shared" si="7"/>
        <v>3.3256037956204381</v>
      </c>
      <c r="P18" s="12">
        <f t="shared" si="8"/>
        <v>7.7587259455873525E-3</v>
      </c>
      <c r="Q18" s="13">
        <f t="shared" si="9"/>
        <v>9.1240875912408743</v>
      </c>
      <c r="S18" s="14">
        <f t="shared" si="10"/>
        <v>3.6496350364965124E-3</v>
      </c>
    </row>
    <row r="19" spans="1:19" x14ac:dyDescent="0.35">
      <c r="A19" s="6" t="s">
        <v>31</v>
      </c>
      <c r="B19" s="20">
        <f>B18/$B$6-1</f>
        <v>3.0864197530864335E-3</v>
      </c>
      <c r="E19" s="8">
        <v>140</v>
      </c>
      <c r="F19" s="9" t="str">
        <f t="shared" si="0"/>
        <v>yes</v>
      </c>
      <c r="G19" s="9" t="str">
        <f t="shared" si="1"/>
        <v>yes</v>
      </c>
      <c r="H19" s="10">
        <f t="shared" si="2"/>
        <v>229.59999999999997</v>
      </c>
      <c r="I19" s="9">
        <f>INDEX('E96'!$A$2:$A$98,MATCH(H19,'E96'!$A$2:$A$98,1))</f>
        <v>226</v>
      </c>
      <c r="J19" s="9">
        <f>INDEX('E96'!$A$2:$A$98,MATCH(H19,'E96'!$A$2:$A$98,1)+1)</f>
        <v>232</v>
      </c>
      <c r="K19" s="9">
        <f t="shared" si="3"/>
        <v>232</v>
      </c>
      <c r="L19" s="11">
        <f t="shared" si="4"/>
        <v>1.6571428571428573</v>
      </c>
      <c r="M19" s="11">
        <f t="shared" si="5"/>
        <v>3.3214285714285721</v>
      </c>
      <c r="N19" s="12">
        <f t="shared" si="6"/>
        <v>6.4935064935067732E-3</v>
      </c>
      <c r="O19" s="11">
        <f t="shared" si="7"/>
        <v>3.3353485714285722</v>
      </c>
      <c r="P19" s="12">
        <f t="shared" si="8"/>
        <v>1.0711688311688672E-2</v>
      </c>
      <c r="Q19" s="13">
        <f t="shared" si="9"/>
        <v>8.9285714285714288</v>
      </c>
      <c r="S19" s="14">
        <f t="shared" si="10"/>
        <v>6.4935064935067732E-3</v>
      </c>
    </row>
    <row r="20" spans="1:19" x14ac:dyDescent="0.35">
      <c r="E20" s="8">
        <v>143</v>
      </c>
      <c r="F20" s="9" t="str">
        <f t="shared" si="0"/>
        <v>yes</v>
      </c>
      <c r="G20" s="9" t="str">
        <f t="shared" si="1"/>
        <v>yes</v>
      </c>
      <c r="H20" s="10">
        <f t="shared" si="2"/>
        <v>234.51999999999995</v>
      </c>
      <c r="I20" s="9">
        <f>INDEX('E96'!$A$2:$A$98,MATCH(H20,'E96'!$A$2:$A$98,1))</f>
        <v>232</v>
      </c>
      <c r="J20" s="9">
        <f>INDEX('E96'!$A$2:$A$98,MATCH(H20,'E96'!$A$2:$A$98,1)+1)</f>
        <v>237</v>
      </c>
      <c r="K20" s="9">
        <f t="shared" si="3"/>
        <v>237</v>
      </c>
      <c r="L20" s="11">
        <f t="shared" si="4"/>
        <v>1.6573426573426573</v>
      </c>
      <c r="M20" s="11">
        <f t="shared" si="5"/>
        <v>3.3216783216783217</v>
      </c>
      <c r="N20" s="12">
        <f t="shared" si="6"/>
        <v>6.5691883873701951E-3</v>
      </c>
      <c r="O20" s="11">
        <f t="shared" si="7"/>
        <v>3.3358983216783216</v>
      </c>
      <c r="P20" s="12">
        <f t="shared" si="8"/>
        <v>1.0878279296461235E-2</v>
      </c>
      <c r="Q20" s="13">
        <f t="shared" si="9"/>
        <v>8.7412587412587417</v>
      </c>
      <c r="S20" s="14">
        <f t="shared" si="10"/>
        <v>6.5691883873701951E-3</v>
      </c>
    </row>
    <row r="21" spans="1:19" x14ac:dyDescent="0.35">
      <c r="A21" s="22"/>
      <c r="B21" s="23"/>
      <c r="C21" s="23"/>
      <c r="E21" s="8">
        <v>147</v>
      </c>
      <c r="F21" s="9" t="str">
        <f t="shared" si="0"/>
        <v>yes</v>
      </c>
      <c r="G21" s="9" t="str">
        <f t="shared" si="1"/>
        <v>yes</v>
      </c>
      <c r="H21" s="10">
        <f t="shared" si="2"/>
        <v>241.07999999999996</v>
      </c>
      <c r="I21" s="9">
        <f>INDEX('E96'!$A$2:$A$98,MATCH(H21,'E96'!$A$2:$A$98,1))</f>
        <v>237</v>
      </c>
      <c r="J21" s="9">
        <f>INDEX('E96'!$A$2:$A$98,MATCH(H21,'E96'!$A$2:$A$98,1)+1)</f>
        <v>243</v>
      </c>
      <c r="K21" s="9">
        <f t="shared" si="3"/>
        <v>243</v>
      </c>
      <c r="L21" s="11">
        <f t="shared" si="4"/>
        <v>1.653061224489796</v>
      </c>
      <c r="M21" s="11">
        <f t="shared" si="5"/>
        <v>3.3163265306122449</v>
      </c>
      <c r="N21" s="12">
        <f t="shared" si="6"/>
        <v>4.9474335188621765E-3</v>
      </c>
      <c r="O21" s="11">
        <f t="shared" si="7"/>
        <v>3.330906530612245</v>
      </c>
      <c r="P21" s="12">
        <f t="shared" si="8"/>
        <v>9.3656153370440531E-3</v>
      </c>
      <c r="Q21" s="13">
        <f t="shared" si="9"/>
        <v>8.5034013605442187</v>
      </c>
      <c r="S21" s="14">
        <f t="shared" si="10"/>
        <v>4.9474335188621765E-3</v>
      </c>
    </row>
    <row r="22" spans="1:19" x14ac:dyDescent="0.35">
      <c r="A22" s="23"/>
      <c r="B22" s="23"/>
      <c r="C22" s="23"/>
      <c r="E22" s="8">
        <v>150</v>
      </c>
      <c r="F22" s="9" t="str">
        <f t="shared" si="0"/>
        <v>yes</v>
      </c>
      <c r="G22" s="9" t="str">
        <f t="shared" si="1"/>
        <v>yes</v>
      </c>
      <c r="H22" s="10">
        <f t="shared" si="2"/>
        <v>245.99999999999994</v>
      </c>
      <c r="I22" s="9">
        <f>INDEX('E96'!$A$2:$A$98,MATCH(H22,'E96'!$A$2:$A$98,1))</f>
        <v>243</v>
      </c>
      <c r="J22" s="9">
        <f>INDEX('E96'!$A$2:$A$98,MATCH(H22,'E96'!$A$2:$A$98,1)+1)</f>
        <v>249</v>
      </c>
      <c r="K22" s="9">
        <f t="shared" si="3"/>
        <v>243</v>
      </c>
      <c r="L22" s="11">
        <f t="shared" si="4"/>
        <v>1.62</v>
      </c>
      <c r="M22" s="11">
        <f t="shared" si="5"/>
        <v>3.2750000000000004</v>
      </c>
      <c r="N22" s="12">
        <f t="shared" si="6"/>
        <v>-7.575757575757458E-3</v>
      </c>
      <c r="O22" s="11">
        <f t="shared" si="7"/>
        <v>3.2895800000000004</v>
      </c>
      <c r="P22" s="12">
        <f t="shared" si="8"/>
        <v>-3.1575757575755814E-3</v>
      </c>
      <c r="Q22" s="13">
        <f t="shared" si="9"/>
        <v>8.3333333333333339</v>
      </c>
      <c r="S22" s="14">
        <f t="shared" si="10"/>
        <v>7.575757575757458E-3</v>
      </c>
    </row>
    <row r="23" spans="1:19" x14ac:dyDescent="0.35">
      <c r="A23" s="23"/>
      <c r="B23" s="23"/>
      <c r="C23" s="23"/>
      <c r="E23" s="8">
        <v>154</v>
      </c>
      <c r="F23" s="9" t="str">
        <f t="shared" si="0"/>
        <v>yes</v>
      </c>
      <c r="G23" s="9" t="str">
        <f t="shared" si="1"/>
        <v>yes</v>
      </c>
      <c r="H23" s="10">
        <f t="shared" si="2"/>
        <v>252.55999999999995</v>
      </c>
      <c r="I23" s="9">
        <f>INDEX('E96'!$A$2:$A$98,MATCH(H23,'E96'!$A$2:$A$98,1))</f>
        <v>249</v>
      </c>
      <c r="J23" s="9">
        <f>INDEX('E96'!$A$2:$A$98,MATCH(H23,'E96'!$A$2:$A$98,1)+1)</f>
        <v>255</v>
      </c>
      <c r="K23" s="9">
        <f t="shared" si="3"/>
        <v>255</v>
      </c>
      <c r="L23" s="11">
        <f t="shared" si="4"/>
        <v>1.6558441558441559</v>
      </c>
      <c r="M23" s="11">
        <f t="shared" si="5"/>
        <v>3.3198051948051948</v>
      </c>
      <c r="N23" s="12">
        <f t="shared" si="6"/>
        <v>6.0015741833923109E-3</v>
      </c>
      <c r="O23" s="11">
        <f t="shared" si="7"/>
        <v>3.3351051948051946</v>
      </c>
      <c r="P23" s="12">
        <f t="shared" si="8"/>
        <v>1.0637937819756083E-2</v>
      </c>
      <c r="Q23" s="13">
        <f t="shared" si="9"/>
        <v>8.1168831168831161</v>
      </c>
      <c r="S23" s="14">
        <f t="shared" si="10"/>
        <v>6.0015741833923109E-3</v>
      </c>
    </row>
    <row r="24" spans="1:19" x14ac:dyDescent="0.35">
      <c r="A24" s="23"/>
      <c r="B24" s="23"/>
      <c r="C24" s="23"/>
      <c r="E24" s="8">
        <v>158</v>
      </c>
      <c r="F24" s="9" t="str">
        <f t="shared" si="0"/>
        <v>yes</v>
      </c>
      <c r="G24" s="9" t="str">
        <f t="shared" si="1"/>
        <v>yes</v>
      </c>
      <c r="H24" s="10">
        <f t="shared" si="2"/>
        <v>259.11999999999995</v>
      </c>
      <c r="I24" s="9">
        <f>INDEX('E96'!$A$2:$A$98,MATCH(H24,'E96'!$A$2:$A$98,1))</f>
        <v>255</v>
      </c>
      <c r="J24" s="9">
        <f>INDEX('E96'!$A$2:$A$98,MATCH(H24,'E96'!$A$2:$A$98,1)+1)</f>
        <v>261</v>
      </c>
      <c r="K24" s="9">
        <f t="shared" si="3"/>
        <v>261</v>
      </c>
      <c r="L24" s="11">
        <f t="shared" si="4"/>
        <v>1.6518987341772151</v>
      </c>
      <c r="M24" s="11">
        <f t="shared" si="5"/>
        <v>3.3148734177215191</v>
      </c>
      <c r="N24" s="12">
        <f t="shared" si="6"/>
        <v>4.5070962792481684E-3</v>
      </c>
      <c r="O24" s="11">
        <f t="shared" si="7"/>
        <v>3.3305334177215191</v>
      </c>
      <c r="P24" s="12">
        <f t="shared" si="8"/>
        <v>9.2525508247027766E-3</v>
      </c>
      <c r="Q24" s="13">
        <f t="shared" si="9"/>
        <v>7.9113924050632916</v>
      </c>
      <c r="S24" s="14">
        <f t="shared" si="10"/>
        <v>4.5070962792481684E-3</v>
      </c>
    </row>
    <row r="25" spans="1:19" x14ac:dyDescent="0.35">
      <c r="E25" s="8">
        <v>162</v>
      </c>
      <c r="F25" s="9" t="str">
        <f t="shared" si="0"/>
        <v>yes</v>
      </c>
      <c r="G25" s="9" t="str">
        <f t="shared" si="1"/>
        <v>yes</v>
      </c>
      <c r="H25" s="10">
        <f t="shared" si="2"/>
        <v>265.67999999999995</v>
      </c>
      <c r="I25" s="9">
        <f>INDEX('E96'!$A$2:$A$98,MATCH(H25,'E96'!$A$2:$A$98,1))</f>
        <v>261</v>
      </c>
      <c r="J25" s="9">
        <f>INDEX('E96'!$A$2:$A$98,MATCH(H25,'E96'!$A$2:$A$98,1)+1)</f>
        <v>267</v>
      </c>
      <c r="K25" s="9">
        <f t="shared" si="3"/>
        <v>267</v>
      </c>
      <c r="L25" s="11">
        <f t="shared" si="4"/>
        <v>1.6481481481481481</v>
      </c>
      <c r="M25" s="11">
        <f t="shared" si="5"/>
        <v>3.3101851851851851</v>
      </c>
      <c r="N25" s="12">
        <f t="shared" si="6"/>
        <v>3.0864197530864335E-3</v>
      </c>
      <c r="O25" s="11">
        <f t="shared" si="7"/>
        <v>3.3262051851851853</v>
      </c>
      <c r="P25" s="12">
        <f t="shared" si="8"/>
        <v>7.9409652076318782E-3</v>
      </c>
      <c r="Q25" s="13">
        <f t="shared" si="9"/>
        <v>7.716049382716049</v>
      </c>
      <c r="S25" s="14">
        <f t="shared" si="10"/>
        <v>3.0864197530864335E-3</v>
      </c>
    </row>
    <row r="26" spans="1:19" x14ac:dyDescent="0.35">
      <c r="E26" s="8">
        <v>165</v>
      </c>
      <c r="F26" s="9" t="str">
        <f t="shared" si="0"/>
        <v>yes</v>
      </c>
      <c r="G26" s="9" t="str">
        <f t="shared" si="1"/>
        <v>yes</v>
      </c>
      <c r="H26" s="10">
        <f t="shared" si="2"/>
        <v>270.59999999999997</v>
      </c>
      <c r="I26" s="9">
        <f>INDEX('E96'!$A$2:$A$98,MATCH(H26,'E96'!$A$2:$A$98,1))</f>
        <v>267</v>
      </c>
      <c r="J26" s="9">
        <f>INDEX('E96'!$A$2:$A$98,MATCH(H26,'E96'!$A$2:$A$98,1)+1)</f>
        <v>274</v>
      </c>
      <c r="K26" s="9">
        <f t="shared" si="3"/>
        <v>274</v>
      </c>
      <c r="L26" s="11">
        <f t="shared" si="4"/>
        <v>1.6606060606060606</v>
      </c>
      <c r="M26" s="11">
        <f t="shared" si="5"/>
        <v>3.3257575757575757</v>
      </c>
      <c r="N26" s="12">
        <f t="shared" si="6"/>
        <v>7.8053259871442293E-3</v>
      </c>
      <c r="O26" s="11">
        <f t="shared" si="7"/>
        <v>3.3421975757575755</v>
      </c>
      <c r="P26" s="12">
        <f t="shared" si="8"/>
        <v>1.2787144168962428E-2</v>
      </c>
      <c r="Q26" s="13">
        <f t="shared" si="9"/>
        <v>7.5757575757575761</v>
      </c>
      <c r="S26" s="14">
        <f t="shared" si="10"/>
        <v>7.8053259871442293E-3</v>
      </c>
    </row>
    <row r="27" spans="1:19" x14ac:dyDescent="0.35">
      <c r="E27" s="8">
        <v>169</v>
      </c>
      <c r="F27" s="9" t="str">
        <f t="shared" si="0"/>
        <v>yes</v>
      </c>
      <c r="G27" s="9" t="str">
        <f t="shared" si="1"/>
        <v>yes</v>
      </c>
      <c r="H27" s="10">
        <f t="shared" si="2"/>
        <v>277.15999999999997</v>
      </c>
      <c r="I27" s="9">
        <f>INDEX('E96'!$A$2:$A$98,MATCH(H27,'E96'!$A$2:$A$98,1))</f>
        <v>274</v>
      </c>
      <c r="J27" s="9">
        <f>INDEX('E96'!$A$2:$A$98,MATCH(H27,'E96'!$A$2:$A$98,1)+1)</f>
        <v>280</v>
      </c>
      <c r="K27" s="9">
        <f t="shared" si="3"/>
        <v>280</v>
      </c>
      <c r="L27" s="11">
        <f t="shared" si="4"/>
        <v>1.6568047337278107</v>
      </c>
      <c r="M27" s="11">
        <f t="shared" si="5"/>
        <v>3.3210059171597632</v>
      </c>
      <c r="N27" s="12">
        <f t="shared" si="6"/>
        <v>6.3654294423525215E-3</v>
      </c>
      <c r="O27" s="11">
        <f t="shared" si="7"/>
        <v>3.3378059171597632</v>
      </c>
      <c r="P27" s="12">
        <f t="shared" si="8"/>
        <v>1.1456338533261556E-2</v>
      </c>
      <c r="Q27" s="13">
        <f t="shared" si="9"/>
        <v>7.3964497041420119</v>
      </c>
      <c r="S27" s="14">
        <f t="shared" si="10"/>
        <v>6.3654294423525215E-3</v>
      </c>
    </row>
    <row r="28" spans="1:19" x14ac:dyDescent="0.35">
      <c r="E28" s="8">
        <v>174</v>
      </c>
      <c r="F28" s="9" t="str">
        <f t="shared" si="0"/>
        <v>yes</v>
      </c>
      <c r="G28" s="9" t="str">
        <f t="shared" si="1"/>
        <v>yes</v>
      </c>
      <c r="H28" s="10">
        <f t="shared" si="2"/>
        <v>285.35999999999996</v>
      </c>
      <c r="I28" s="9">
        <f>INDEX('E96'!$A$2:$A$98,MATCH(H28,'E96'!$A$2:$A$98,1))</f>
        <v>280</v>
      </c>
      <c r="J28" s="9">
        <f>INDEX('E96'!$A$2:$A$98,MATCH(H28,'E96'!$A$2:$A$98,1)+1)</f>
        <v>287</v>
      </c>
      <c r="K28" s="9">
        <f t="shared" si="3"/>
        <v>287</v>
      </c>
      <c r="L28" s="11">
        <f t="shared" si="4"/>
        <v>1.6494252873563218</v>
      </c>
      <c r="M28" s="11">
        <f t="shared" si="5"/>
        <v>3.3117816091954024</v>
      </c>
      <c r="N28" s="12">
        <f t="shared" si="6"/>
        <v>3.5701846046674035E-3</v>
      </c>
      <c r="O28" s="11">
        <f t="shared" si="7"/>
        <v>3.3290016091954024</v>
      </c>
      <c r="P28" s="12">
        <f t="shared" si="8"/>
        <v>8.788366422849192E-3</v>
      </c>
      <c r="Q28" s="13">
        <f t="shared" si="9"/>
        <v>7.1839080459770113</v>
      </c>
      <c r="S28" s="14">
        <f t="shared" si="10"/>
        <v>3.5701846046674035E-3</v>
      </c>
    </row>
    <row r="29" spans="1:19" x14ac:dyDescent="0.35">
      <c r="E29" s="8">
        <v>178</v>
      </c>
      <c r="F29" s="9" t="str">
        <f t="shared" si="0"/>
        <v>yes</v>
      </c>
      <c r="G29" s="9" t="str">
        <f t="shared" si="1"/>
        <v>yes</v>
      </c>
      <c r="H29" s="10">
        <f t="shared" si="2"/>
        <v>291.91999999999996</v>
      </c>
      <c r="I29" s="9">
        <f>INDEX('E96'!$A$2:$A$98,MATCH(H29,'E96'!$A$2:$A$98,1))</f>
        <v>287</v>
      </c>
      <c r="J29" s="9">
        <f>INDEX('E96'!$A$2:$A$98,MATCH(H29,'E96'!$A$2:$A$98,1)+1)</f>
        <v>294</v>
      </c>
      <c r="K29" s="9">
        <f t="shared" si="3"/>
        <v>294</v>
      </c>
      <c r="L29" s="11">
        <f t="shared" si="4"/>
        <v>1.651685393258427</v>
      </c>
      <c r="M29" s="11">
        <f t="shared" si="5"/>
        <v>3.314606741573034</v>
      </c>
      <c r="N29" s="12">
        <f t="shared" si="6"/>
        <v>4.4262853251619827E-3</v>
      </c>
      <c r="O29" s="11">
        <f t="shared" si="7"/>
        <v>3.3322467415730341</v>
      </c>
      <c r="P29" s="12">
        <f t="shared" si="8"/>
        <v>9.7717398706165248E-3</v>
      </c>
      <c r="Q29" s="13">
        <f t="shared" si="9"/>
        <v>7.0224719101123592</v>
      </c>
      <c r="S29" s="14">
        <f t="shared" si="10"/>
        <v>4.4262853251619827E-3</v>
      </c>
    </row>
    <row r="30" spans="1:19" x14ac:dyDescent="0.35">
      <c r="E30" s="8">
        <v>182</v>
      </c>
      <c r="F30" s="9" t="str">
        <f t="shared" si="0"/>
        <v>yes</v>
      </c>
      <c r="G30" s="9" t="str">
        <f t="shared" si="1"/>
        <v>yes</v>
      </c>
      <c r="H30" s="10">
        <f t="shared" si="2"/>
        <v>298.47999999999996</v>
      </c>
      <c r="I30" s="9">
        <f>INDEX('E96'!$A$2:$A$98,MATCH(H30,'E96'!$A$2:$A$98,1))</f>
        <v>294</v>
      </c>
      <c r="J30" s="9">
        <f>INDEX('E96'!$A$2:$A$98,MATCH(H30,'E96'!$A$2:$A$98,1)+1)</f>
        <v>301</v>
      </c>
      <c r="K30" s="9">
        <f t="shared" si="3"/>
        <v>301</v>
      </c>
      <c r="L30" s="11">
        <f t="shared" si="4"/>
        <v>1.6538461538461537</v>
      </c>
      <c r="M30" s="11">
        <f t="shared" si="5"/>
        <v>3.3173076923076921</v>
      </c>
      <c r="N30" s="12">
        <f t="shared" si="6"/>
        <v>5.2447552447552059E-3</v>
      </c>
      <c r="O30" s="11">
        <f t="shared" si="7"/>
        <v>3.3353676923076923</v>
      </c>
      <c r="P30" s="12">
        <f t="shared" si="8"/>
        <v>1.0717482517482502E-2</v>
      </c>
      <c r="Q30" s="13">
        <f t="shared" si="9"/>
        <v>6.8681318681318677</v>
      </c>
      <c r="S30" s="14">
        <f t="shared" si="10"/>
        <v>5.2447552447552059E-3</v>
      </c>
    </row>
    <row r="31" spans="1:19" x14ac:dyDescent="0.35">
      <c r="E31" s="8">
        <v>187</v>
      </c>
      <c r="F31" s="9" t="str">
        <f t="shared" si="0"/>
        <v>yes</v>
      </c>
      <c r="G31" s="9" t="str">
        <f t="shared" si="1"/>
        <v>yes</v>
      </c>
      <c r="H31" s="10">
        <f t="shared" si="2"/>
        <v>306.67999999999995</v>
      </c>
      <c r="I31" s="9">
        <f>INDEX('E96'!$A$2:$A$98,MATCH(H31,'E96'!$A$2:$A$98,1))</f>
        <v>301</v>
      </c>
      <c r="J31" s="9">
        <f>INDEX('E96'!$A$2:$A$98,MATCH(H31,'E96'!$A$2:$A$98,1)+1)</f>
        <v>309</v>
      </c>
      <c r="K31" s="9">
        <f t="shared" si="3"/>
        <v>309</v>
      </c>
      <c r="L31" s="11">
        <f t="shared" si="4"/>
        <v>1.6524064171122994</v>
      </c>
      <c r="M31" s="11">
        <f t="shared" si="5"/>
        <v>3.3155080213903743</v>
      </c>
      <c r="N31" s="12">
        <f t="shared" si="6"/>
        <v>4.6994004213256613E-3</v>
      </c>
      <c r="O31" s="11">
        <f t="shared" si="7"/>
        <v>3.334048021390374</v>
      </c>
      <c r="P31" s="12">
        <f t="shared" si="8"/>
        <v>1.0317582239507406E-2</v>
      </c>
      <c r="Q31" s="13">
        <f t="shared" si="9"/>
        <v>6.6844919786096257</v>
      </c>
      <c r="S31" s="14">
        <f t="shared" si="10"/>
        <v>4.6994004213256613E-3</v>
      </c>
    </row>
    <row r="32" spans="1:19" x14ac:dyDescent="0.35">
      <c r="E32" s="8">
        <v>191</v>
      </c>
      <c r="F32" s="9" t="str">
        <f t="shared" si="0"/>
        <v>yes</v>
      </c>
      <c r="G32" s="9" t="str">
        <f t="shared" si="1"/>
        <v>yes</v>
      </c>
      <c r="H32" s="10">
        <f t="shared" si="2"/>
        <v>313.23999999999995</v>
      </c>
      <c r="I32" s="9">
        <f>INDEX('E96'!$A$2:$A$98,MATCH(H32,'E96'!$A$2:$A$98,1))</f>
        <v>309</v>
      </c>
      <c r="J32" s="9">
        <f>INDEX('E96'!$A$2:$A$98,MATCH(H32,'E96'!$A$2:$A$98,1)+1)</f>
        <v>316</v>
      </c>
      <c r="K32" s="9">
        <f t="shared" si="3"/>
        <v>316</v>
      </c>
      <c r="L32" s="11">
        <f t="shared" si="4"/>
        <v>1.6544502617801047</v>
      </c>
      <c r="M32" s="11">
        <f t="shared" si="5"/>
        <v>3.3180628272251314</v>
      </c>
      <c r="N32" s="12">
        <f t="shared" si="6"/>
        <v>5.4735840076156617E-3</v>
      </c>
      <c r="O32" s="11">
        <f t="shared" si="7"/>
        <v>3.3370228272251312</v>
      </c>
      <c r="P32" s="12">
        <f t="shared" si="8"/>
        <v>1.121903855307016E-2</v>
      </c>
      <c r="Q32" s="13">
        <f t="shared" si="9"/>
        <v>6.5445026178010473</v>
      </c>
      <c r="S32" s="14">
        <f t="shared" si="10"/>
        <v>5.4735840076156617E-3</v>
      </c>
    </row>
    <row r="33" spans="5:19" x14ac:dyDescent="0.35">
      <c r="E33" s="8">
        <v>196</v>
      </c>
      <c r="F33" s="9" t="str">
        <f t="shared" si="0"/>
        <v>yes</v>
      </c>
      <c r="G33" s="9" t="str">
        <f t="shared" si="1"/>
        <v>yes</v>
      </c>
      <c r="H33" s="10">
        <f t="shared" si="2"/>
        <v>321.43999999999994</v>
      </c>
      <c r="I33" s="9">
        <f>INDEX('E96'!$A$2:$A$98,MATCH(H33,'E96'!$A$2:$A$98,1))</f>
        <v>316</v>
      </c>
      <c r="J33" s="9">
        <f>INDEX('E96'!$A$2:$A$98,MATCH(H33,'E96'!$A$2:$A$98,1)+1)</f>
        <v>324</v>
      </c>
      <c r="K33" s="9">
        <f t="shared" si="3"/>
        <v>324</v>
      </c>
      <c r="L33" s="11">
        <f t="shared" si="4"/>
        <v>1.653061224489796</v>
      </c>
      <c r="M33" s="11">
        <f t="shared" si="5"/>
        <v>3.3163265306122449</v>
      </c>
      <c r="N33" s="12">
        <f t="shared" si="6"/>
        <v>4.9474335188621765E-3</v>
      </c>
      <c r="O33" s="11">
        <f t="shared" si="7"/>
        <v>3.3357665306122448</v>
      </c>
      <c r="P33" s="12">
        <f t="shared" si="8"/>
        <v>1.0838342609771123E-2</v>
      </c>
      <c r="Q33" s="13">
        <f t="shared" si="9"/>
        <v>6.3775510204081636</v>
      </c>
      <c r="S33" s="14">
        <f t="shared" si="10"/>
        <v>4.9474335188621765E-3</v>
      </c>
    </row>
    <row r="34" spans="5:19" x14ac:dyDescent="0.35">
      <c r="E34" s="8">
        <v>200</v>
      </c>
      <c r="F34" s="9" t="str">
        <f t="shared" si="0"/>
        <v>yes</v>
      </c>
      <c r="G34" s="9" t="str">
        <f t="shared" si="1"/>
        <v>yes</v>
      </c>
      <c r="H34" s="10">
        <f t="shared" si="2"/>
        <v>327.99999999999994</v>
      </c>
      <c r="I34" s="9">
        <f>INDEX('E96'!$A$2:$A$98,MATCH(H34,'E96'!$A$2:$A$98,1))</f>
        <v>324</v>
      </c>
      <c r="J34" s="9">
        <f>INDEX('E96'!$A$2:$A$98,MATCH(H34,'E96'!$A$2:$A$98,1)+1)</f>
        <v>332</v>
      </c>
      <c r="K34" s="9">
        <f t="shared" si="3"/>
        <v>324</v>
      </c>
      <c r="L34" s="11">
        <f t="shared" si="4"/>
        <v>1.62</v>
      </c>
      <c r="M34" s="11">
        <f t="shared" si="5"/>
        <v>3.2750000000000004</v>
      </c>
      <c r="N34" s="12">
        <f t="shared" si="6"/>
        <v>-7.575757575757458E-3</v>
      </c>
      <c r="O34" s="11">
        <f t="shared" si="7"/>
        <v>3.2944400000000003</v>
      </c>
      <c r="P34" s="12">
        <f t="shared" si="8"/>
        <v>-1.6848484848484002E-3</v>
      </c>
      <c r="Q34" s="13">
        <f t="shared" si="9"/>
        <v>6.25</v>
      </c>
      <c r="S34" s="14">
        <f t="shared" si="10"/>
        <v>7.575757575757458E-3</v>
      </c>
    </row>
    <row r="35" spans="5:19" x14ac:dyDescent="0.35">
      <c r="E35" s="8">
        <v>205</v>
      </c>
      <c r="F35" s="9" t="str">
        <f t="shared" si="0"/>
        <v>yes</v>
      </c>
      <c r="G35" s="9" t="str">
        <f t="shared" si="1"/>
        <v>no</v>
      </c>
      <c r="H35" s="10">
        <f t="shared" si="2"/>
        <v>336.19999999999993</v>
      </c>
      <c r="I35" s="9">
        <f>INDEX('E96'!$A$2:$A$98,MATCH(H35,'E96'!$A$2:$A$98,1))</f>
        <v>332</v>
      </c>
      <c r="J35" s="9">
        <f>INDEX('E96'!$A$2:$A$98,MATCH(H35,'E96'!$A$2:$A$98,1)+1)</f>
        <v>340</v>
      </c>
      <c r="K35" s="9">
        <f t="shared" si="3"/>
        <v>340</v>
      </c>
      <c r="L35" s="11">
        <f t="shared" si="4"/>
        <v>1.6585365853658536</v>
      </c>
      <c r="M35" s="11">
        <f t="shared" si="5"/>
        <v>3.3231707317073167</v>
      </c>
      <c r="N35" s="12">
        <f t="shared" si="6"/>
        <v>7.0214338507019747E-3</v>
      </c>
      <c r="O35" s="11">
        <f t="shared" si="7"/>
        <v>3.3435707317073167</v>
      </c>
      <c r="P35" s="12">
        <f t="shared" si="8"/>
        <v>1.3203252032520263E-2</v>
      </c>
      <c r="Q35" s="13">
        <f t="shared" si="9"/>
        <v>6.0975609756097562</v>
      </c>
      <c r="S35" s="14">
        <f t="shared" si="10"/>
        <v>7.0214338507019747E-3</v>
      </c>
    </row>
    <row r="36" spans="5:19" x14ac:dyDescent="0.35">
      <c r="E36" s="8">
        <v>210</v>
      </c>
      <c r="F36" s="9" t="str">
        <f t="shared" si="0"/>
        <v>yes</v>
      </c>
      <c r="G36" s="9" t="str">
        <f t="shared" si="1"/>
        <v>no</v>
      </c>
      <c r="H36" s="10">
        <f t="shared" si="2"/>
        <v>344.39999999999992</v>
      </c>
      <c r="I36" s="9">
        <f>INDEX('E96'!$A$2:$A$98,MATCH(H36,'E96'!$A$2:$A$98,1))</f>
        <v>340</v>
      </c>
      <c r="J36" s="9">
        <f>INDEX('E96'!$A$2:$A$98,MATCH(H36,'E96'!$A$2:$A$98,1)+1)</f>
        <v>348</v>
      </c>
      <c r="K36" s="9">
        <f t="shared" si="3"/>
        <v>348</v>
      </c>
      <c r="L36" s="11">
        <f t="shared" si="4"/>
        <v>1.6571428571428573</v>
      </c>
      <c r="M36" s="11">
        <f t="shared" si="5"/>
        <v>3.3214285714285721</v>
      </c>
      <c r="N36" s="12">
        <f t="shared" si="6"/>
        <v>6.4935064935067732E-3</v>
      </c>
      <c r="O36" s="11">
        <f t="shared" si="7"/>
        <v>3.3423085714285721</v>
      </c>
      <c r="P36" s="12">
        <f t="shared" si="8"/>
        <v>1.282077922077951E-2</v>
      </c>
      <c r="Q36" s="13">
        <f t="shared" si="9"/>
        <v>5.9523809523809517</v>
      </c>
      <c r="S36" s="14">
        <f t="shared" si="10"/>
        <v>6.4935064935067732E-3</v>
      </c>
    </row>
    <row r="37" spans="5:19" x14ac:dyDescent="0.35">
      <c r="E37" s="8">
        <v>215</v>
      </c>
      <c r="F37" s="9" t="str">
        <f t="shared" si="0"/>
        <v>yes</v>
      </c>
      <c r="G37" s="9" t="str">
        <f t="shared" si="1"/>
        <v>no</v>
      </c>
      <c r="H37" s="10">
        <f t="shared" si="2"/>
        <v>352.59999999999991</v>
      </c>
      <c r="I37" s="9">
        <f>INDEX('E96'!$A$2:$A$98,MATCH(H37,'E96'!$A$2:$A$98,1))</f>
        <v>348</v>
      </c>
      <c r="J37" s="9">
        <f>INDEX('E96'!$A$2:$A$98,MATCH(H37,'E96'!$A$2:$A$98,1)+1)</f>
        <v>357</v>
      </c>
      <c r="K37" s="9">
        <f t="shared" si="3"/>
        <v>357</v>
      </c>
      <c r="L37" s="11">
        <f t="shared" si="4"/>
        <v>1.6604651162790698</v>
      </c>
      <c r="M37" s="11">
        <f t="shared" si="5"/>
        <v>3.3255813953488373</v>
      </c>
      <c r="N37" s="12">
        <f t="shared" si="6"/>
        <v>7.7519379844961378E-3</v>
      </c>
      <c r="O37" s="11">
        <f t="shared" si="7"/>
        <v>3.3470013953488373</v>
      </c>
      <c r="P37" s="12">
        <f t="shared" si="8"/>
        <v>1.4242847075405241E-2</v>
      </c>
      <c r="Q37" s="13">
        <f t="shared" si="9"/>
        <v>5.8139534883720927</v>
      </c>
      <c r="S37" s="14">
        <f t="shared" si="10"/>
        <v>7.7519379844961378E-3</v>
      </c>
    </row>
    <row r="38" spans="5:19" x14ac:dyDescent="0.35">
      <c r="E38" s="8">
        <v>221</v>
      </c>
      <c r="F38" s="9" t="str">
        <f t="shared" si="0"/>
        <v>yes</v>
      </c>
      <c r="G38" s="9" t="str">
        <f t="shared" si="1"/>
        <v>no</v>
      </c>
      <c r="H38" s="10">
        <f t="shared" si="2"/>
        <v>362.43999999999994</v>
      </c>
      <c r="I38" s="9">
        <f>INDEX('E96'!$A$2:$A$98,MATCH(H38,'E96'!$A$2:$A$98,1))</f>
        <v>357</v>
      </c>
      <c r="J38" s="9">
        <f>INDEX('E96'!$A$2:$A$98,MATCH(H38,'E96'!$A$2:$A$98,1)+1)</f>
        <v>365</v>
      </c>
      <c r="K38" s="9">
        <f t="shared" si="3"/>
        <v>365</v>
      </c>
      <c r="L38" s="11">
        <f t="shared" si="4"/>
        <v>1.6515837104072397</v>
      </c>
      <c r="M38" s="11">
        <f t="shared" si="5"/>
        <v>3.3144796380090495</v>
      </c>
      <c r="N38" s="12">
        <f t="shared" si="6"/>
        <v>4.3877690936513503E-3</v>
      </c>
      <c r="O38" s="11">
        <f t="shared" si="7"/>
        <v>3.3363796380090496</v>
      </c>
      <c r="P38" s="12">
        <f t="shared" si="8"/>
        <v>1.1024132730015124E-2</v>
      </c>
      <c r="Q38" s="13">
        <f t="shared" si="9"/>
        <v>5.6561085972850673</v>
      </c>
      <c r="S38" s="14">
        <f t="shared" si="10"/>
        <v>4.3877690936513503E-3</v>
      </c>
    </row>
    <row r="39" spans="5:19" x14ac:dyDescent="0.35">
      <c r="E39" s="8">
        <v>226</v>
      </c>
      <c r="F39" s="9" t="str">
        <f t="shared" si="0"/>
        <v>yes</v>
      </c>
      <c r="G39" s="9" t="str">
        <f t="shared" si="1"/>
        <v>no</v>
      </c>
      <c r="H39" s="10">
        <f t="shared" si="2"/>
        <v>370.63999999999993</v>
      </c>
      <c r="I39" s="9">
        <f>INDEX('E96'!$A$2:$A$98,MATCH(H39,'E96'!$A$2:$A$98,1))</f>
        <v>365</v>
      </c>
      <c r="J39" s="9">
        <f>INDEX('E96'!$A$2:$A$98,MATCH(H39,'E96'!$A$2:$A$98,1)+1)</f>
        <v>374</v>
      </c>
      <c r="K39" s="9">
        <f t="shared" si="3"/>
        <v>374</v>
      </c>
      <c r="L39" s="11">
        <f t="shared" si="4"/>
        <v>1.654867256637168</v>
      </c>
      <c r="M39" s="11">
        <f t="shared" si="5"/>
        <v>3.3185840707964598</v>
      </c>
      <c r="N39" s="12">
        <f t="shared" si="6"/>
        <v>5.6315366049879412E-3</v>
      </c>
      <c r="O39" s="11">
        <f t="shared" si="7"/>
        <v>3.3410240707964598</v>
      </c>
      <c r="P39" s="12">
        <f t="shared" si="8"/>
        <v>1.2431536604987858E-2</v>
      </c>
      <c r="Q39" s="13">
        <f t="shared" si="9"/>
        <v>5.5309734513274336</v>
      </c>
      <c r="S39" s="14">
        <f t="shared" si="10"/>
        <v>5.6315366049879412E-3</v>
      </c>
    </row>
    <row r="40" spans="5:19" x14ac:dyDescent="0.35">
      <c r="E40" s="8">
        <v>232</v>
      </c>
      <c r="F40" s="9" t="str">
        <f t="shared" si="0"/>
        <v>yes</v>
      </c>
      <c r="G40" s="9" t="str">
        <f t="shared" si="1"/>
        <v>no</v>
      </c>
      <c r="H40" s="10">
        <f t="shared" si="2"/>
        <v>380.4799999999999</v>
      </c>
      <c r="I40" s="9">
        <f>INDEX('E96'!$A$2:$A$98,MATCH(H40,'E96'!$A$2:$A$98,1))</f>
        <v>374</v>
      </c>
      <c r="J40" s="9">
        <f>INDEX('E96'!$A$2:$A$98,MATCH(H40,'E96'!$A$2:$A$98,1)+1)</f>
        <v>383</v>
      </c>
      <c r="K40" s="9">
        <f t="shared" si="3"/>
        <v>383</v>
      </c>
      <c r="L40" s="11">
        <f t="shared" si="4"/>
        <v>1.6508620689655173</v>
      </c>
      <c r="M40" s="11">
        <f t="shared" si="5"/>
        <v>3.3135775862068968</v>
      </c>
      <c r="N40" s="12">
        <f t="shared" si="6"/>
        <v>4.1144200626961336E-3</v>
      </c>
      <c r="O40" s="11">
        <f t="shared" si="7"/>
        <v>3.3365575862068968</v>
      </c>
      <c r="P40" s="12">
        <f t="shared" si="8"/>
        <v>1.1078056426332417E-2</v>
      </c>
      <c r="Q40" s="13">
        <f t="shared" si="9"/>
        <v>5.3879310344827589</v>
      </c>
      <c r="S40" s="14">
        <f t="shared" si="10"/>
        <v>4.1144200626961336E-3</v>
      </c>
    </row>
    <row r="41" spans="5:19" x14ac:dyDescent="0.35">
      <c r="E41" s="8">
        <v>237</v>
      </c>
      <c r="F41" s="9" t="str">
        <f t="shared" si="0"/>
        <v>yes</v>
      </c>
      <c r="G41" s="9" t="str">
        <f t="shared" si="1"/>
        <v>no</v>
      </c>
      <c r="H41" s="10">
        <f t="shared" si="2"/>
        <v>388.67999999999995</v>
      </c>
      <c r="I41" s="9">
        <f>INDEX('E96'!$A$2:$A$98,MATCH(H41,'E96'!$A$2:$A$98,1))</f>
        <v>383</v>
      </c>
      <c r="J41" s="9">
        <f>INDEX('E96'!$A$2:$A$98,MATCH(H41,'E96'!$A$2:$A$98,1)+1)</f>
        <v>392</v>
      </c>
      <c r="K41" s="9">
        <f t="shared" si="3"/>
        <v>392</v>
      </c>
      <c r="L41" s="11">
        <f t="shared" si="4"/>
        <v>1.6540084388185654</v>
      </c>
      <c r="M41" s="11">
        <f t="shared" si="5"/>
        <v>3.3175105485232068</v>
      </c>
      <c r="N41" s="12">
        <f t="shared" si="6"/>
        <v>5.3062268252141997E-3</v>
      </c>
      <c r="O41" s="11">
        <f t="shared" si="7"/>
        <v>3.3410305485232068</v>
      </c>
      <c r="P41" s="12">
        <f t="shared" si="8"/>
        <v>1.2433499552487071E-2</v>
      </c>
      <c r="Q41" s="13">
        <f t="shared" si="9"/>
        <v>5.2742616033755274</v>
      </c>
      <c r="S41" s="14">
        <f t="shared" si="10"/>
        <v>5.3062268252141997E-3</v>
      </c>
    </row>
    <row r="42" spans="5:19" x14ac:dyDescent="0.35">
      <c r="E42" s="8">
        <v>243</v>
      </c>
      <c r="F42" s="9" t="str">
        <f t="shared" si="0"/>
        <v>yes</v>
      </c>
      <c r="G42" s="9" t="str">
        <f t="shared" si="1"/>
        <v>no</v>
      </c>
      <c r="H42" s="10">
        <f t="shared" si="2"/>
        <v>398.51999999999992</v>
      </c>
      <c r="I42" s="9">
        <f>INDEX('E96'!$A$2:$A$98,MATCH(H42,'E96'!$A$2:$A$98,1))</f>
        <v>392</v>
      </c>
      <c r="J42" s="9">
        <f>INDEX('E96'!$A$2:$A$98,MATCH(H42,'E96'!$A$2:$A$98,1)+1)</f>
        <v>402</v>
      </c>
      <c r="K42" s="9">
        <f t="shared" si="3"/>
        <v>402</v>
      </c>
      <c r="L42" s="11">
        <f t="shared" si="4"/>
        <v>1.654320987654321</v>
      </c>
      <c r="M42" s="11">
        <f t="shared" si="5"/>
        <v>3.3179012345679015</v>
      </c>
      <c r="N42" s="12">
        <f t="shared" si="6"/>
        <v>5.4246165357278997E-3</v>
      </c>
      <c r="O42" s="11">
        <f t="shared" si="7"/>
        <v>3.3420212345679015</v>
      </c>
      <c r="P42" s="12">
        <f t="shared" si="8"/>
        <v>1.2733707444818609E-2</v>
      </c>
      <c r="Q42" s="13">
        <f t="shared" si="9"/>
        <v>5.1440329218106999</v>
      </c>
      <c r="S42" s="14">
        <f t="shared" si="10"/>
        <v>5.4246165357278997E-3</v>
      </c>
    </row>
    <row r="43" spans="5:19" x14ac:dyDescent="0.35">
      <c r="E43" s="8">
        <v>249</v>
      </c>
      <c r="F43" s="9" t="str">
        <f t="shared" si="0"/>
        <v>yes</v>
      </c>
      <c r="G43" s="9" t="str">
        <f t="shared" si="1"/>
        <v>no</v>
      </c>
      <c r="H43" s="10">
        <f t="shared" si="2"/>
        <v>408.3599999999999</v>
      </c>
      <c r="I43" s="9">
        <f>INDEX('E96'!$A$2:$A$98,MATCH(H43,'E96'!$A$2:$A$98,1))</f>
        <v>402</v>
      </c>
      <c r="J43" s="9">
        <f>INDEX('E96'!$A$2:$A$98,MATCH(H43,'E96'!$A$2:$A$98,1)+1)</f>
        <v>412</v>
      </c>
      <c r="K43" s="9">
        <f t="shared" si="3"/>
        <v>412</v>
      </c>
      <c r="L43" s="11">
        <f t="shared" si="4"/>
        <v>1.6546184738955823</v>
      </c>
      <c r="M43" s="11">
        <f t="shared" si="5"/>
        <v>3.3182730923694779</v>
      </c>
      <c r="N43" s="12">
        <f t="shared" si="6"/>
        <v>5.5373007180237188E-3</v>
      </c>
      <c r="O43" s="11">
        <f t="shared" si="7"/>
        <v>3.3429930923694777</v>
      </c>
      <c r="P43" s="12">
        <f t="shared" si="8"/>
        <v>1.3028209808932711E-2</v>
      </c>
      <c r="Q43" s="13">
        <f t="shared" si="9"/>
        <v>5.0200803212851408</v>
      </c>
      <c r="S43" s="14">
        <f t="shared" si="10"/>
        <v>5.5373007180237188E-3</v>
      </c>
    </row>
  </sheetData>
  <mergeCells count="1">
    <mergeCell ref="A21:C24"/>
  </mergeCells>
  <conditionalFormatting sqref="E5:Q43">
    <cfRule type="expression" dxfId="1" priority="1">
      <formula>$S5=MIN($S$5:$S$43)</formula>
    </cfRule>
    <cfRule type="expression" dxfId="0" priority="2">
      <formula>$F5="NO"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8"/>
  <sheetViews>
    <sheetView workbookViewId="0"/>
  </sheetViews>
  <sheetFormatPr defaultRowHeight="14.5" x14ac:dyDescent="0.35"/>
  <cols>
    <col min="1" max="1" width="16" customWidth="1"/>
  </cols>
  <sheetData>
    <row r="1" spans="1:1" x14ac:dyDescent="0.35">
      <c r="A1" s="3" t="s">
        <v>32</v>
      </c>
    </row>
    <row r="2" spans="1:1" x14ac:dyDescent="0.35">
      <c r="A2" s="21">
        <v>100</v>
      </c>
    </row>
    <row r="3" spans="1:1" x14ac:dyDescent="0.35">
      <c r="A3" s="21">
        <v>102</v>
      </c>
    </row>
    <row r="4" spans="1:1" x14ac:dyDescent="0.35">
      <c r="A4" s="21">
        <v>105</v>
      </c>
    </row>
    <row r="5" spans="1:1" x14ac:dyDescent="0.35">
      <c r="A5" s="21">
        <v>107</v>
      </c>
    </row>
    <row r="6" spans="1:1" x14ac:dyDescent="0.35">
      <c r="A6" s="21">
        <v>110</v>
      </c>
    </row>
    <row r="7" spans="1:1" x14ac:dyDescent="0.35">
      <c r="A7" s="21">
        <v>113</v>
      </c>
    </row>
    <row r="8" spans="1:1" x14ac:dyDescent="0.35">
      <c r="A8" s="21">
        <v>115</v>
      </c>
    </row>
    <row r="9" spans="1:1" x14ac:dyDescent="0.35">
      <c r="A9" s="21">
        <v>118</v>
      </c>
    </row>
    <row r="10" spans="1:1" x14ac:dyDescent="0.35">
      <c r="A10" s="21">
        <v>121</v>
      </c>
    </row>
    <row r="11" spans="1:1" x14ac:dyDescent="0.35">
      <c r="A11" s="21">
        <v>124</v>
      </c>
    </row>
    <row r="12" spans="1:1" x14ac:dyDescent="0.35">
      <c r="A12" s="21">
        <v>127</v>
      </c>
    </row>
    <row r="13" spans="1:1" x14ac:dyDescent="0.35">
      <c r="A13" s="21">
        <v>130</v>
      </c>
    </row>
    <row r="14" spans="1:1" x14ac:dyDescent="0.35">
      <c r="A14" s="21">
        <v>133</v>
      </c>
    </row>
    <row r="15" spans="1:1" x14ac:dyDescent="0.35">
      <c r="A15" s="21">
        <v>137</v>
      </c>
    </row>
    <row r="16" spans="1:1" x14ac:dyDescent="0.35">
      <c r="A16" s="21">
        <v>140</v>
      </c>
    </row>
    <row r="17" spans="1:1" x14ac:dyDescent="0.35">
      <c r="A17" s="21">
        <v>143</v>
      </c>
    </row>
    <row r="18" spans="1:1" x14ac:dyDescent="0.35">
      <c r="A18" s="21">
        <v>147</v>
      </c>
    </row>
    <row r="19" spans="1:1" x14ac:dyDescent="0.35">
      <c r="A19" s="21">
        <v>150</v>
      </c>
    </row>
    <row r="20" spans="1:1" x14ac:dyDescent="0.35">
      <c r="A20" s="21">
        <v>154</v>
      </c>
    </row>
    <row r="21" spans="1:1" x14ac:dyDescent="0.35">
      <c r="A21" s="21">
        <v>158</v>
      </c>
    </row>
    <row r="22" spans="1:1" x14ac:dyDescent="0.35">
      <c r="A22" s="21">
        <v>162</v>
      </c>
    </row>
    <row r="23" spans="1:1" x14ac:dyDescent="0.35">
      <c r="A23" s="21">
        <v>165</v>
      </c>
    </row>
    <row r="24" spans="1:1" x14ac:dyDescent="0.35">
      <c r="A24" s="21">
        <v>169</v>
      </c>
    </row>
    <row r="25" spans="1:1" x14ac:dyDescent="0.35">
      <c r="A25" s="21">
        <v>174</v>
      </c>
    </row>
    <row r="26" spans="1:1" x14ac:dyDescent="0.35">
      <c r="A26" s="21">
        <v>178</v>
      </c>
    </row>
    <row r="27" spans="1:1" x14ac:dyDescent="0.35">
      <c r="A27" s="21">
        <v>182</v>
      </c>
    </row>
    <row r="28" spans="1:1" x14ac:dyDescent="0.35">
      <c r="A28" s="21">
        <v>187</v>
      </c>
    </row>
    <row r="29" spans="1:1" x14ac:dyDescent="0.35">
      <c r="A29" s="21">
        <v>191</v>
      </c>
    </row>
    <row r="30" spans="1:1" x14ac:dyDescent="0.35">
      <c r="A30" s="21">
        <v>196</v>
      </c>
    </row>
    <row r="31" spans="1:1" x14ac:dyDescent="0.35">
      <c r="A31" s="21">
        <v>200</v>
      </c>
    </row>
    <row r="32" spans="1:1" x14ac:dyDescent="0.35">
      <c r="A32" s="21">
        <v>205</v>
      </c>
    </row>
    <row r="33" spans="1:1" x14ac:dyDescent="0.35">
      <c r="A33" s="21">
        <v>210</v>
      </c>
    </row>
    <row r="34" spans="1:1" x14ac:dyDescent="0.35">
      <c r="A34" s="21">
        <v>215</v>
      </c>
    </row>
    <row r="35" spans="1:1" x14ac:dyDescent="0.35">
      <c r="A35" s="21">
        <v>221</v>
      </c>
    </row>
    <row r="36" spans="1:1" x14ac:dyDescent="0.35">
      <c r="A36" s="21">
        <v>226</v>
      </c>
    </row>
    <row r="37" spans="1:1" x14ac:dyDescent="0.35">
      <c r="A37" s="21">
        <v>232</v>
      </c>
    </row>
    <row r="38" spans="1:1" x14ac:dyDescent="0.35">
      <c r="A38" s="21">
        <v>237</v>
      </c>
    </row>
    <row r="39" spans="1:1" x14ac:dyDescent="0.35">
      <c r="A39" s="21">
        <v>243</v>
      </c>
    </row>
    <row r="40" spans="1:1" x14ac:dyDescent="0.35">
      <c r="A40" s="21">
        <v>249</v>
      </c>
    </row>
    <row r="41" spans="1:1" x14ac:dyDescent="0.35">
      <c r="A41" s="21">
        <v>255</v>
      </c>
    </row>
    <row r="42" spans="1:1" x14ac:dyDescent="0.35">
      <c r="A42" s="21">
        <v>261</v>
      </c>
    </row>
    <row r="43" spans="1:1" x14ac:dyDescent="0.35">
      <c r="A43" s="21">
        <v>267</v>
      </c>
    </row>
    <row r="44" spans="1:1" x14ac:dyDescent="0.35">
      <c r="A44" s="21">
        <v>274</v>
      </c>
    </row>
    <row r="45" spans="1:1" x14ac:dyDescent="0.35">
      <c r="A45" s="21">
        <v>280</v>
      </c>
    </row>
    <row r="46" spans="1:1" x14ac:dyDescent="0.35">
      <c r="A46" s="21">
        <v>287</v>
      </c>
    </row>
    <row r="47" spans="1:1" x14ac:dyDescent="0.35">
      <c r="A47" s="21">
        <v>294</v>
      </c>
    </row>
    <row r="48" spans="1:1" x14ac:dyDescent="0.35">
      <c r="A48" s="21">
        <v>301</v>
      </c>
    </row>
    <row r="49" spans="1:1" x14ac:dyDescent="0.35">
      <c r="A49" s="21">
        <v>309</v>
      </c>
    </row>
    <row r="50" spans="1:1" x14ac:dyDescent="0.35">
      <c r="A50" s="21">
        <v>316</v>
      </c>
    </row>
    <row r="51" spans="1:1" x14ac:dyDescent="0.35">
      <c r="A51" s="21">
        <v>324</v>
      </c>
    </row>
    <row r="52" spans="1:1" x14ac:dyDescent="0.35">
      <c r="A52" s="21">
        <v>332</v>
      </c>
    </row>
    <row r="53" spans="1:1" x14ac:dyDescent="0.35">
      <c r="A53" s="21">
        <v>340</v>
      </c>
    </row>
    <row r="54" spans="1:1" x14ac:dyDescent="0.35">
      <c r="A54" s="21">
        <v>348</v>
      </c>
    </row>
    <row r="55" spans="1:1" x14ac:dyDescent="0.35">
      <c r="A55" s="21">
        <v>357</v>
      </c>
    </row>
    <row r="56" spans="1:1" x14ac:dyDescent="0.35">
      <c r="A56" s="21">
        <v>365</v>
      </c>
    </row>
    <row r="57" spans="1:1" x14ac:dyDescent="0.35">
      <c r="A57" s="21">
        <v>374</v>
      </c>
    </row>
    <row r="58" spans="1:1" x14ac:dyDescent="0.35">
      <c r="A58" s="21">
        <v>383</v>
      </c>
    </row>
    <row r="59" spans="1:1" x14ac:dyDescent="0.35">
      <c r="A59" s="21">
        <v>392</v>
      </c>
    </row>
    <row r="60" spans="1:1" x14ac:dyDescent="0.35">
      <c r="A60" s="21">
        <v>402</v>
      </c>
    </row>
    <row r="61" spans="1:1" x14ac:dyDescent="0.35">
      <c r="A61" s="21">
        <v>412</v>
      </c>
    </row>
    <row r="62" spans="1:1" x14ac:dyDescent="0.35">
      <c r="A62" s="21">
        <v>422</v>
      </c>
    </row>
    <row r="63" spans="1:1" x14ac:dyDescent="0.35">
      <c r="A63" s="21">
        <v>432</v>
      </c>
    </row>
    <row r="64" spans="1:1" x14ac:dyDescent="0.35">
      <c r="A64" s="21">
        <v>442</v>
      </c>
    </row>
    <row r="65" spans="1:1" x14ac:dyDescent="0.35">
      <c r="A65" s="21">
        <v>453</v>
      </c>
    </row>
    <row r="66" spans="1:1" x14ac:dyDescent="0.35">
      <c r="A66" s="21">
        <v>464</v>
      </c>
    </row>
    <row r="67" spans="1:1" x14ac:dyDescent="0.35">
      <c r="A67" s="21">
        <v>475</v>
      </c>
    </row>
    <row r="68" spans="1:1" x14ac:dyDescent="0.35">
      <c r="A68" s="21">
        <v>487</v>
      </c>
    </row>
    <row r="69" spans="1:1" x14ac:dyDescent="0.35">
      <c r="A69" s="21">
        <v>499</v>
      </c>
    </row>
    <row r="70" spans="1:1" x14ac:dyDescent="0.35">
      <c r="A70" s="21">
        <v>511</v>
      </c>
    </row>
    <row r="71" spans="1:1" x14ac:dyDescent="0.35">
      <c r="A71" s="21">
        <v>523</v>
      </c>
    </row>
    <row r="72" spans="1:1" x14ac:dyDescent="0.35">
      <c r="A72" s="21">
        <v>536</v>
      </c>
    </row>
    <row r="73" spans="1:1" x14ac:dyDescent="0.35">
      <c r="A73" s="21">
        <v>549</v>
      </c>
    </row>
    <row r="74" spans="1:1" x14ac:dyDescent="0.35">
      <c r="A74" s="21">
        <v>562</v>
      </c>
    </row>
    <row r="75" spans="1:1" x14ac:dyDescent="0.35">
      <c r="A75" s="21">
        <v>576</v>
      </c>
    </row>
    <row r="76" spans="1:1" x14ac:dyDescent="0.35">
      <c r="A76" s="21">
        <v>590</v>
      </c>
    </row>
    <row r="77" spans="1:1" x14ac:dyDescent="0.35">
      <c r="A77" s="21">
        <v>604</v>
      </c>
    </row>
    <row r="78" spans="1:1" x14ac:dyDescent="0.35">
      <c r="A78" s="21">
        <v>619</v>
      </c>
    </row>
    <row r="79" spans="1:1" x14ac:dyDescent="0.35">
      <c r="A79" s="21">
        <v>634</v>
      </c>
    </row>
    <row r="80" spans="1:1" x14ac:dyDescent="0.35">
      <c r="A80" s="21">
        <v>649</v>
      </c>
    </row>
    <row r="81" spans="1:1" x14ac:dyDescent="0.35">
      <c r="A81" s="21">
        <v>665</v>
      </c>
    </row>
    <row r="82" spans="1:1" x14ac:dyDescent="0.35">
      <c r="A82" s="21">
        <v>681</v>
      </c>
    </row>
    <row r="83" spans="1:1" x14ac:dyDescent="0.35">
      <c r="A83" s="21">
        <v>698</v>
      </c>
    </row>
    <row r="84" spans="1:1" x14ac:dyDescent="0.35">
      <c r="A84" s="21">
        <v>715</v>
      </c>
    </row>
    <row r="85" spans="1:1" x14ac:dyDescent="0.35">
      <c r="A85" s="21">
        <v>732</v>
      </c>
    </row>
    <row r="86" spans="1:1" x14ac:dyDescent="0.35">
      <c r="A86" s="21">
        <v>750</v>
      </c>
    </row>
    <row r="87" spans="1:1" x14ac:dyDescent="0.35">
      <c r="A87" s="21">
        <v>768</v>
      </c>
    </row>
    <row r="88" spans="1:1" x14ac:dyDescent="0.35">
      <c r="A88" s="21">
        <v>787</v>
      </c>
    </row>
    <row r="89" spans="1:1" x14ac:dyDescent="0.35">
      <c r="A89" s="21">
        <v>806</v>
      </c>
    </row>
    <row r="90" spans="1:1" x14ac:dyDescent="0.35">
      <c r="A90" s="21">
        <v>825</v>
      </c>
    </row>
    <row r="91" spans="1:1" x14ac:dyDescent="0.35">
      <c r="A91" s="21">
        <v>845</v>
      </c>
    </row>
    <row r="92" spans="1:1" x14ac:dyDescent="0.35">
      <c r="A92" s="21">
        <v>866</v>
      </c>
    </row>
    <row r="93" spans="1:1" x14ac:dyDescent="0.35">
      <c r="A93" s="21">
        <v>887</v>
      </c>
    </row>
    <row r="94" spans="1:1" x14ac:dyDescent="0.35">
      <c r="A94" s="21">
        <v>909</v>
      </c>
    </row>
    <row r="95" spans="1:1" x14ac:dyDescent="0.35">
      <c r="A95" s="21">
        <v>931</v>
      </c>
    </row>
    <row r="96" spans="1:1" x14ac:dyDescent="0.35">
      <c r="A96" s="21">
        <v>953</v>
      </c>
    </row>
    <row r="97" spans="1:1" x14ac:dyDescent="0.35">
      <c r="A97" s="21">
        <v>976</v>
      </c>
    </row>
    <row r="98" spans="1:1" x14ac:dyDescent="0.35">
      <c r="A98" s="21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Divider</vt:lpstr>
      <vt:lpstr>E96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Gu</cp:lastModifiedBy>
  <dcterms:created xsi:type="dcterms:W3CDTF">2026-09-22T22:58:14Z</dcterms:created>
  <dcterms:modified xsi:type="dcterms:W3CDTF">2026-09-22T23:36:45Z</dcterms:modified>
</cp:coreProperties>
</file>