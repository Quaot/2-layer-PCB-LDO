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FFF3B0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1" fontId="4" fillId="0" borderId="1" pivotButton="0" quotePrefix="0" xfId="0"/>
    <xf numFmtId="9" fontId="4" fillId="0" borderId="1" pivotButton="0" quotePrefix="0" xfId="0"/>
    <xf numFmtId="166" fontId="4" fillId="0" borderId="1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3CFC6"/>
        </patternFill>
      </fill>
    </dxf>
    <dxf>
      <fill>
        <patternFill patternType="solid">
          <fgColor rgb="00FBE5B6"/>
        </patternFill>
      </fill>
    </dxf>
    <dxf>
      <fill>
        <patternFill patternType="solid">
          <fgColor rgb="00D6EA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T_J vs theta-JA</a:t>
            </a:r>
          </a:p>
        </rich>
      </tx>
    </title>
    <plotArea>
      <scatterChart>
        <ser>
          <idx val="0"/>
          <order val="0"/>
          <tx>
            <strRef>
              <f>'Thermal'!K5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'Thermal'!$J$6:$J$16</f>
            </numRef>
          </xVal>
          <yVal>
            <numRef>
              <f>'Thermal'!$K$6:$K$16</f>
            </numRef>
          </yVal>
        </ser>
        <ser>
          <idx val="1"/>
          <order val="1"/>
          <tx>
            <strRef>
              <f>'Thermal'!L5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'Thermal'!$J$6:$J$16</f>
            </numRef>
          </xVal>
          <yVal>
            <numRef>
              <f>'Thermal'!$L$6:$L$16</f>
            </numRef>
          </yVal>
        </ser>
        <ser>
          <idx val="2"/>
          <order val="2"/>
          <tx>
            <strRef>
              <f>'Thermal'!N5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'Thermal'!$J$6:$J$16</f>
            </numRef>
          </xVal>
          <yVal>
            <numRef>
              <f>'Thermal'!$N$6:$N$16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theta-JA (C/W)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T_J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T_J @45C vs total copper area</a:t>
            </a:r>
          </a:p>
        </rich>
      </tx>
    </title>
    <plotArea>
      <scatterChart>
        <ser>
          <idx val="0"/>
          <order val="0"/>
          <tx>
            <strRef>
              <f>'Thermal'!L5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'Thermal'!$H$6:$H$16</f>
            </numRef>
          </xVal>
          <yVal>
            <numRef>
              <f>'Thermal'!$L$6:$L$16</f>
            </numRef>
          </yVal>
        </ser>
        <ser>
          <idx val="1"/>
          <order val="1"/>
          <tx>
            <strRef>
              <f>'Thermal'!N5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'Thermal'!$H$6:$H$16</f>
            </numRef>
          </xVal>
          <yVal>
            <numRef>
              <f>'Thermal'!$N$6:$N$16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copper area (mm2)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T_J @45C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" customWidth="1" min="3" max="3"/>
    <col width="16" customWidth="1" min="5" max="5"/>
    <col width="10" customWidth="1" min="6" max="6"/>
    <col width="10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11" customWidth="1" min="13" max="13"/>
    <col width="7" customWidth="1" min="14" max="14"/>
    <col width="12" customWidth="1" min="15" max="15"/>
  </cols>
  <sheetData>
    <row r="1">
      <c r="A1" s="1" t="inlineStr">
        <is>
          <t>LM1117 SOT-223 thermal analysis (Task 5.2)</t>
        </is>
      </c>
    </row>
    <row r="2">
      <c r="A2" s="2" t="inlineStr">
        <is>
          <t>theta-JA values are REAL datasheet data: Table 9-2 'RθJA for Different Heat Sink Area', 1 oz copper, SOT-223 (LM1117 datasheet p.18-19).</t>
        </is>
      </c>
    </row>
    <row r="3">
      <c r="A3" s="2" t="inlineStr">
        <is>
          <t>T_J = T_A + P*thetaJA. Pick the smallest copper area that keeps T_J under 125 C with margin at 45 C ambient. Green=safe, amber=tight, red=over.</t>
        </is>
      </c>
    </row>
    <row r="5" ht="28" customHeight="1">
      <c r="A5" s="3" t="inlineStr">
        <is>
          <t>Inputs</t>
        </is>
      </c>
      <c r="E5" s="4" t="inlineStr">
        <is>
          <t>Layout (Table 9-2)</t>
        </is>
      </c>
      <c r="F5" s="4" t="inlineStr">
        <is>
          <t>Top Cu (in2)</t>
        </is>
      </c>
      <c r="G5" s="4" t="inlineStr">
        <is>
          <t>Bot Cu (in2)</t>
        </is>
      </c>
      <c r="H5" s="4" t="inlineStr">
        <is>
          <t>area (mm2)</t>
        </is>
      </c>
      <c r="I5" s="4" t="inlineStr">
        <is>
          <t>% of board</t>
        </is>
      </c>
      <c r="J5" s="4" t="inlineStr">
        <is>
          <t>theta-JA (C/W)</t>
        </is>
      </c>
      <c r="K5" s="4" t="inlineStr">
        <is>
          <t>T_J @25C</t>
        </is>
      </c>
      <c r="L5" s="4" t="inlineStr">
        <is>
          <t>T_J @45C</t>
        </is>
      </c>
      <c r="M5" s="4" t="inlineStr">
        <is>
          <t>margin @45C</t>
        </is>
      </c>
      <c r="N5" s="4" t="inlineStr">
        <is>
          <t>limit</t>
        </is>
      </c>
      <c r="O5" s="4" t="inlineStr">
        <is>
          <t>verdict @45C</t>
        </is>
      </c>
    </row>
    <row r="6">
      <c r="A6" s="5" t="inlineStr">
        <is>
          <t>V_in (V)</t>
        </is>
      </c>
      <c r="B6" s="6" t="n">
        <v>5</v>
      </c>
      <c r="E6" s="7" t="inlineStr">
        <is>
          <t>L1</t>
        </is>
      </c>
      <c r="F6" s="7" t="n">
        <v>0.0123</v>
      </c>
      <c r="G6" s="7" t="n">
        <v>0</v>
      </c>
      <c r="H6" s="8">
        <f>(F6+G6)*645.16</f>
        <v/>
      </c>
      <c r="I6" s="9">
        <f>H6/$B$18</f>
        <v/>
      </c>
      <c r="J6" s="8" t="n">
        <v>136</v>
      </c>
      <c r="K6" s="10">
        <f>$B$9+$B$16*J6</f>
        <v/>
      </c>
      <c r="L6" s="10">
        <f>$B$10+$B$16*J6</f>
        <v/>
      </c>
      <c r="M6" s="10">
        <f>$B$11-L6</f>
        <v/>
      </c>
      <c r="N6" s="10">
        <f>$B$11</f>
        <v/>
      </c>
      <c r="O6" s="7">
        <f>IF(L6&gt;$B$11,"OVER",IF(M6&lt;$B$12,"tight","safe"))</f>
        <v/>
      </c>
    </row>
    <row r="7">
      <c r="A7" s="5" t="inlineStr">
        <is>
          <t>V_out (V)</t>
        </is>
      </c>
      <c r="B7" s="6" t="n">
        <v>3.3</v>
      </c>
      <c r="E7" s="7" t="inlineStr">
        <is>
          <t>L2</t>
        </is>
      </c>
      <c r="F7" s="7" t="n">
        <v>0.066</v>
      </c>
      <c r="G7" s="7" t="n">
        <v>0</v>
      </c>
      <c r="H7" s="8">
        <f>(F7+G7)*645.16</f>
        <v/>
      </c>
      <c r="I7" s="9">
        <f>H7/$B$18</f>
        <v/>
      </c>
      <c r="J7" s="8" t="n">
        <v>123</v>
      </c>
      <c r="K7" s="10">
        <f>$B$9+$B$16*J7</f>
        <v/>
      </c>
      <c r="L7" s="10">
        <f>$B$10+$B$16*J7</f>
        <v/>
      </c>
      <c r="M7" s="10">
        <f>$B$11-L7</f>
        <v/>
      </c>
      <c r="N7" s="10">
        <f>$B$11</f>
        <v/>
      </c>
      <c r="O7" s="7">
        <f>IF(L7&gt;$B$11,"OVER",IF(M7&lt;$B$12,"tight","safe"))</f>
        <v/>
      </c>
    </row>
    <row r="8">
      <c r="A8" s="5" t="inlineStr">
        <is>
          <t>I_load (A)</t>
        </is>
      </c>
      <c r="B8" s="6" t="n">
        <v>0.5</v>
      </c>
      <c r="E8" s="7" t="inlineStr">
        <is>
          <t>L3</t>
        </is>
      </c>
      <c r="F8" s="7" t="n">
        <v>0.3</v>
      </c>
      <c r="G8" s="7" t="n">
        <v>0</v>
      </c>
      <c r="H8" s="8">
        <f>(F8+G8)*645.16</f>
        <v/>
      </c>
      <c r="I8" s="9">
        <f>H8/$B$18</f>
        <v/>
      </c>
      <c r="J8" s="8" t="n">
        <v>84</v>
      </c>
      <c r="K8" s="10">
        <f>$B$9+$B$16*J8</f>
        <v/>
      </c>
      <c r="L8" s="10">
        <f>$B$10+$B$16*J8</f>
        <v/>
      </c>
      <c r="M8" s="10">
        <f>$B$11-L8</f>
        <v/>
      </c>
      <c r="N8" s="10">
        <f>$B$11</f>
        <v/>
      </c>
      <c r="O8" s="7">
        <f>IF(L8&gt;$B$11,"OVER",IF(M8&lt;$B$12,"tight","safe"))</f>
        <v/>
      </c>
    </row>
    <row r="9">
      <c r="A9" s="5" t="inlineStr">
        <is>
          <t>T_A #1 (C)</t>
        </is>
      </c>
      <c r="B9" s="6" t="n">
        <v>25</v>
      </c>
      <c r="E9" s="7" t="inlineStr">
        <is>
          <t>L4</t>
        </is>
      </c>
      <c r="F9" s="7" t="n">
        <v>0.53</v>
      </c>
      <c r="G9" s="7" t="n">
        <v>0</v>
      </c>
      <c r="H9" s="8">
        <f>(F9+G9)*645.16</f>
        <v/>
      </c>
      <c r="I9" s="9">
        <f>H9/$B$18</f>
        <v/>
      </c>
      <c r="J9" s="8" t="n">
        <v>75</v>
      </c>
      <c r="K9" s="10">
        <f>$B$9+$B$16*J9</f>
        <v/>
      </c>
      <c r="L9" s="10">
        <f>$B$10+$B$16*J9</f>
        <v/>
      </c>
      <c r="M9" s="10">
        <f>$B$11-L9</f>
        <v/>
      </c>
      <c r="N9" s="10">
        <f>$B$11</f>
        <v/>
      </c>
      <c r="O9" s="7">
        <f>IF(L9&gt;$B$11,"OVER",IF(M9&lt;$B$12,"tight","safe"))</f>
        <v/>
      </c>
    </row>
    <row r="10">
      <c r="A10" s="5" t="inlineStr">
        <is>
          <t>T_A #2 (C)</t>
        </is>
      </c>
      <c r="B10" s="6" t="n">
        <v>45</v>
      </c>
      <c r="E10" s="7" t="inlineStr">
        <is>
          <t>L5</t>
        </is>
      </c>
      <c r="F10" s="7" t="n">
        <v>0.76</v>
      </c>
      <c r="G10" s="7" t="n">
        <v>0</v>
      </c>
      <c r="H10" s="8">
        <f>(F10+G10)*645.16</f>
        <v/>
      </c>
      <c r="I10" s="9">
        <f>H10/$B$18</f>
        <v/>
      </c>
      <c r="J10" s="8" t="n">
        <v>69</v>
      </c>
      <c r="K10" s="10">
        <f>$B$9+$B$16*J10</f>
        <v/>
      </c>
      <c r="L10" s="10">
        <f>$B$10+$B$16*J10</f>
        <v/>
      </c>
      <c r="M10" s="10">
        <f>$B$11-L10</f>
        <v/>
      </c>
      <c r="N10" s="10">
        <f>$B$11</f>
        <v/>
      </c>
      <c r="O10" s="7">
        <f>IF(L10&gt;$B$11,"OVER",IF(M10&lt;$B$12,"tight","safe"))</f>
        <v/>
      </c>
    </row>
    <row r="11">
      <c r="A11" s="5" t="inlineStr">
        <is>
          <t>T_J max (C)</t>
        </is>
      </c>
      <c r="B11" s="6" t="n">
        <v>125</v>
      </c>
      <c r="E11" s="7" t="inlineStr">
        <is>
          <t>L6</t>
        </is>
      </c>
      <c r="F11" s="7" t="n">
        <v>1</v>
      </c>
      <c r="G11" s="7" t="n">
        <v>0</v>
      </c>
      <c r="H11" s="8">
        <f>(F11+G11)*645.16</f>
        <v/>
      </c>
      <c r="I11" s="9">
        <f>H11/$B$18</f>
        <v/>
      </c>
      <c r="J11" s="8" t="n">
        <v>66</v>
      </c>
      <c r="K11" s="10">
        <f>$B$9+$B$16*J11</f>
        <v/>
      </c>
      <c r="L11" s="10">
        <f>$B$10+$B$16*J11</f>
        <v/>
      </c>
      <c r="M11" s="10">
        <f>$B$11-L11</f>
        <v/>
      </c>
      <c r="N11" s="10">
        <f>$B$11</f>
        <v/>
      </c>
      <c r="O11" s="7">
        <f>IF(L11&gt;$B$11,"OVER",IF(M11&lt;$B$12,"tight","safe"))</f>
        <v/>
      </c>
    </row>
    <row r="12">
      <c r="A12" s="5" t="inlineStr">
        <is>
          <t>Margin want (C)</t>
        </is>
      </c>
      <c r="B12" s="6" t="n">
        <v>15</v>
      </c>
      <c r="E12" s="7" t="inlineStr">
        <is>
          <t>L12</t>
        </is>
      </c>
      <c r="F12" s="7" t="n">
        <v>0.066</v>
      </c>
      <c r="G12" s="7" t="n">
        <v>0.066</v>
      </c>
      <c r="H12" s="8">
        <f>(F12+G12)*645.16</f>
        <v/>
      </c>
      <c r="I12" s="9">
        <f>H12/$B$18</f>
        <v/>
      </c>
      <c r="J12" s="8" t="n">
        <v>125</v>
      </c>
      <c r="K12" s="10">
        <f>$B$9+$B$16*J12</f>
        <v/>
      </c>
      <c r="L12" s="10">
        <f>$B$10+$B$16*J12</f>
        <v/>
      </c>
      <c r="M12" s="10">
        <f>$B$11-L12</f>
        <v/>
      </c>
      <c r="N12" s="10">
        <f>$B$11</f>
        <v/>
      </c>
      <c r="O12" s="7">
        <f>IF(L12&gt;$B$11,"OVER",IF(M12&lt;$B$12,"tight","safe"))</f>
        <v/>
      </c>
    </row>
    <row r="13">
      <c r="A13" s="5" t="inlineStr">
        <is>
          <t>Board length (mm)</t>
        </is>
      </c>
      <c r="B13" s="6" t="n">
        <v>28</v>
      </c>
      <c r="E13" s="7" t="inlineStr">
        <is>
          <t>L13</t>
        </is>
      </c>
      <c r="F13" s="7" t="n">
        <v>0.175</v>
      </c>
      <c r="G13" s="7" t="n">
        <v>0.175</v>
      </c>
      <c r="H13" s="8">
        <f>(F13+G13)*645.16</f>
        <v/>
      </c>
      <c r="I13" s="9">
        <f>H13/$B$18</f>
        <v/>
      </c>
      <c r="J13" s="8" t="n">
        <v>93</v>
      </c>
      <c r="K13" s="10">
        <f>$B$9+$B$16*J13</f>
        <v/>
      </c>
      <c r="L13" s="10">
        <f>$B$10+$B$16*J13</f>
        <v/>
      </c>
      <c r="M13" s="10">
        <f>$B$11-L13</f>
        <v/>
      </c>
      <c r="N13" s="10">
        <f>$B$11</f>
        <v/>
      </c>
      <c r="O13" s="7">
        <f>IF(L13&gt;$B$11,"OVER",IF(M13&lt;$B$12,"tight","safe"))</f>
        <v/>
      </c>
    </row>
    <row r="14">
      <c r="A14" s="5" t="inlineStr">
        <is>
          <t>Board width (mm)</t>
        </is>
      </c>
      <c r="B14" s="6" t="n">
        <v>17</v>
      </c>
      <c r="E14" s="7" t="inlineStr">
        <is>
          <t>L14</t>
        </is>
      </c>
      <c r="F14" s="7" t="n">
        <v>0.284</v>
      </c>
      <c r="G14" s="7" t="n">
        <v>0.284</v>
      </c>
      <c r="H14" s="8">
        <f>(F14+G14)*645.16</f>
        <v/>
      </c>
      <c r="I14" s="9">
        <f>H14/$B$18</f>
        <v/>
      </c>
      <c r="J14" s="8" t="n">
        <v>83</v>
      </c>
      <c r="K14" s="10">
        <f>$B$9+$B$16*J14</f>
        <v/>
      </c>
      <c r="L14" s="10">
        <f>$B$10+$B$16*J14</f>
        <v/>
      </c>
      <c r="M14" s="10">
        <f>$B$11-L14</f>
        <v/>
      </c>
      <c r="N14" s="10">
        <f>$B$11</f>
        <v/>
      </c>
      <c r="O14" s="7">
        <f>IF(L14&gt;$B$11,"OVER",IF(M14&lt;$B$12,"tight","safe"))</f>
        <v/>
      </c>
    </row>
    <row r="15">
      <c r="E15" s="7" t="inlineStr">
        <is>
          <t>L15</t>
        </is>
      </c>
      <c r="F15" s="7" t="n">
        <v>0.392</v>
      </c>
      <c r="G15" s="7" t="n">
        <v>0.392</v>
      </c>
      <c r="H15" s="8">
        <f>(F15+G15)*645.16</f>
        <v/>
      </c>
      <c r="I15" s="9">
        <f>H15/$B$18</f>
        <v/>
      </c>
      <c r="J15" s="8" t="n">
        <v>75</v>
      </c>
      <c r="K15" s="10">
        <f>$B$9+$B$16*J15</f>
        <v/>
      </c>
      <c r="L15" s="10">
        <f>$B$10+$B$16*J15</f>
        <v/>
      </c>
      <c r="M15" s="10">
        <f>$B$11-L15</f>
        <v/>
      </c>
      <c r="N15" s="10">
        <f>$B$11</f>
        <v/>
      </c>
      <c r="O15" s="7">
        <f>IF(L15&gt;$B$11,"OVER",IF(M15&lt;$B$12,"tight","safe"))</f>
        <v/>
      </c>
    </row>
    <row r="16">
      <c r="A16" s="5" t="inlineStr">
        <is>
          <t>P = (Vin-Vout)*Iload (W)</t>
        </is>
      </c>
      <c r="B16" s="11">
        <f>(B6-B7)*B8</f>
        <v/>
      </c>
      <c r="E16" s="7" t="inlineStr">
        <is>
          <t>L16</t>
        </is>
      </c>
      <c r="F16" s="7" t="n">
        <v>0.5</v>
      </c>
      <c r="G16" s="7" t="n">
        <v>0.5</v>
      </c>
      <c r="H16" s="8">
        <f>(F16+G16)*645.16</f>
        <v/>
      </c>
      <c r="I16" s="9">
        <f>H16/$B$18</f>
        <v/>
      </c>
      <c r="J16" s="8" t="n">
        <v>70</v>
      </c>
      <c r="K16" s="10">
        <f>$B$9+$B$16*J16</f>
        <v/>
      </c>
      <c r="L16" s="10">
        <f>$B$10+$B$16*J16</f>
        <v/>
      </c>
      <c r="M16" s="10">
        <f>$B$11-L16</f>
        <v/>
      </c>
      <c r="N16" s="10">
        <f>$B$11</f>
        <v/>
      </c>
      <c r="O16" s="7">
        <f>IF(L16&gt;$B$11,"OVER",IF(M16&lt;$B$12,"tight","safe"))</f>
        <v/>
      </c>
    </row>
    <row r="17">
      <c r="A17" s="5" t="inlineStr">
        <is>
          <t>Efficiency = Vout/Vin</t>
        </is>
      </c>
      <c r="B17" s="12">
        <f>B7/B6</f>
        <v/>
      </c>
    </row>
    <row r="18">
      <c r="A18" s="5" t="inlineStr">
        <is>
          <t>Board area (mm2)</t>
        </is>
      </c>
      <c r="B18" s="13">
        <f>B13*B14</f>
        <v/>
      </c>
    </row>
  </sheetData>
  <conditionalFormatting sqref="E6:O16">
    <cfRule type="expression" priority="1" dxfId="0">
      <formula>$L6&gt;$B$11</formula>
    </cfRule>
    <cfRule type="expression" priority="2" dxfId="1">
      <formula>AND($L6&lt;=$B$11,$M6&lt;$B$12)</formula>
    </cfRule>
    <cfRule type="expression" priority="3" dxfId="2">
      <formula>$M6&gt;=$B$12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2026-09-22T23:37:29Z</dcterms:created>
  <dcterms:modified xsi:type="dcterms:W3CDTF">2026-09-22T23:37:29Z</dcterms:modified>
</cp:coreProperties>
</file>