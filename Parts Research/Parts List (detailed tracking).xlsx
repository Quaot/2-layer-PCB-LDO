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BOM" sheetId="1" state="visible" r:id="rId1"/>
    <sheet name="Parts" sheetId="2" state="visible" r:id="rId2"/>
  </sheets>
  <definedNames/>
  <calcPr calcId="191029" fullCalcOnLoad="1"/>
</workbook>
</file>

<file path=xl/styles.xml><?xml version="1.0" encoding="utf-8"?>
<styleSheet xmlns="http://schemas.openxmlformats.org/spreadsheetml/2006/main">
  <numFmts count="4">
    <numFmt numFmtId="164" formatCode="\$0.00"/>
    <numFmt numFmtId="165" formatCode="\$0.000"/>
    <numFmt numFmtId="166" formatCode="$0.000"/>
    <numFmt numFmtId="167" formatCode="$0.00"/>
  </numFmts>
  <fonts count="10">
    <font>
      <name val="Calibri"/>
      <family val="2"/>
      <color theme="1"/>
      <sz val="11"/>
      <scheme val="minor"/>
    </font>
    <font>
      <name val="Arial"/>
      <b val="1"/>
      <sz val="14"/>
    </font>
    <font>
      <name val="Arial"/>
      <i val="1"/>
      <color rgb="FF666666"/>
      <sz val="9"/>
    </font>
    <font>
      <name val="Arial"/>
      <b val="1"/>
      <sz val="10"/>
    </font>
    <font>
      <name val="Arial"/>
      <sz val="10"/>
    </font>
    <font>
      <name val="Arial"/>
      <b val="1"/>
      <sz val="11"/>
    </font>
    <font>
      <name val="Arial"/>
      <color rgb="FF0000FF"/>
      <sz val="10"/>
    </font>
    <font>
      <name val="Arial"/>
      <i val="1"/>
      <color rgb="FF666666"/>
      <sz val="9"/>
    </font>
    <font>
      <name val="Calibri"/>
      <family val="2"/>
      <sz val="11"/>
      <scheme val="minor"/>
    </font>
    <font>
      <name val="Arial"/>
      <b val="1"/>
      <sz val="13"/>
    </font>
  </fonts>
  <fills count="4">
    <fill>
      <patternFill/>
    </fill>
    <fill>
      <patternFill patternType="gray125"/>
    </fill>
    <fill>
      <patternFill patternType="solid">
        <fgColor rgb="FFD9E1F2"/>
      </patternFill>
    </fill>
    <fill>
      <patternFill patternType="solid">
        <fgColor rgb="00D9E1F2"/>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3" fillId="0" borderId="0" pivotButton="0" quotePrefix="0" xfId="0"/>
    <xf numFmtId="0" fontId="3" fillId="0" borderId="1" pivotButton="0" quotePrefix="0" xfId="0"/>
    <xf numFmtId="164" fontId="3" fillId="0" borderId="1" pivotButton="0" quotePrefix="0" xfId="0"/>
    <xf numFmtId="165" fontId="4" fillId="0" borderId="1" applyAlignment="1" pivotButton="0" quotePrefix="0" xfId="0">
      <alignment vertical="center"/>
    </xf>
    <xf numFmtId="0" fontId="5" fillId="0" borderId="0" pivotButton="0" quotePrefix="0" xfId="0"/>
    <xf numFmtId="0" fontId="3" fillId="0" borderId="2" applyAlignment="1" pivotButton="0" quotePrefix="0" xfId="0">
      <alignment vertical="top"/>
    </xf>
    <xf numFmtId="0" fontId="7" fillId="0" borderId="0" pivotButton="0" quotePrefix="0" xfId="0"/>
    <xf numFmtId="0" fontId="6" fillId="0" borderId="2" applyAlignment="1" pivotButton="0" quotePrefix="0" xfId="0">
      <alignment vertical="top" wrapText="1"/>
    </xf>
    <xf numFmtId="0" fontId="4" fillId="0" borderId="1" applyAlignment="1" pivotButton="0" quotePrefix="0" xfId="0">
      <alignment vertical="center"/>
    </xf>
    <xf numFmtId="0" fontId="4" fillId="0" borderId="1" applyAlignment="1" pivotButton="0" quotePrefix="0" xfId="0">
      <alignment vertical="top" wrapText="1"/>
    </xf>
    <xf numFmtId="0" fontId="8" fillId="0" borderId="0" pivotButton="0" quotePrefix="0" xfId="0"/>
    <xf numFmtId="0" fontId="9" fillId="0" borderId="0" pivotButton="0" quotePrefix="0" xfId="0"/>
    <xf numFmtId="0" fontId="3" fillId="3" borderId="3" applyAlignment="1" pivotButton="0" quotePrefix="0" xfId="0">
      <alignment horizontal="center" vertical="center" wrapText="1"/>
    </xf>
    <xf numFmtId="0" fontId="4" fillId="0" borderId="3" applyAlignment="1" pivotButton="0" quotePrefix="0" xfId="0">
      <alignment vertical="top" wrapText="1"/>
    </xf>
    <xf numFmtId="166" fontId="4" fillId="0" borderId="3" applyAlignment="1" pivotButton="0" quotePrefix="0" xfId="0">
      <alignment vertical="top" wrapText="1"/>
    </xf>
    <xf numFmtId="0" fontId="4" fillId="0" borderId="0" pivotButton="0" quotePrefix="0" xfId="0"/>
    <xf numFmtId="167" fontId="3" fillId="0" borderId="3" pivotButton="0" quotePrefix="0" xfId="0"/>
  </cellXfs>
  <cellStyles count="1">
    <cellStyle name="Normal" xfId="0" builtinId="0"/>
  </cellStyles>
  <dxfs count="2">
    <dxf>
      <fill>
        <patternFill patternType="solid">
          <fgColor rgb="FFF8CBAD"/>
        </patternFill>
      </fill>
    </dxf>
    <dxf>
      <fill>
        <patternFill patternType="solid">
          <fgColor rgb="FF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cols>
    <col width="10" customWidth="1" min="1" max="1"/>
    <col width="5" customWidth="1" min="2" max="2"/>
    <col width="20" customWidth="1" min="3" max="3"/>
    <col width="14" customWidth="1" min="4" max="4"/>
    <col width="18" customWidth="1" min="5" max="5"/>
    <col width="22" customWidth="1" min="6" max="6"/>
    <col width="10" customWidth="1" min="7" max="7"/>
    <col width="22" customWidth="1" min="8" max="8"/>
    <col width="12" customWidth="1" min="9" max="9"/>
    <col width="12" customWidth="1" min="10" max="10"/>
    <col width="40" customWidth="1" min="11" max="11"/>
  </cols>
  <sheetData>
    <row r="1">
      <c r="A1" s="15" t="inlineStr">
        <is>
          <t>Bill of Materials — LM1117 5 V to 3.3 V LDO (WATonomous onboarding)</t>
        </is>
      </c>
    </row>
    <row r="3" ht="28" customHeight="1">
      <c r="A3" s="16" t="inlineStr">
        <is>
          <t>Designator</t>
        </is>
      </c>
      <c r="B3" s="16" t="inlineStr">
        <is>
          <t>Qty</t>
        </is>
      </c>
      <c r="C3" s="16" t="inlineStr">
        <is>
          <t>Value</t>
        </is>
      </c>
      <c r="D3" s="16" t="inlineStr">
        <is>
          <t>Footprint</t>
        </is>
      </c>
      <c r="E3" s="16" t="inlineStr">
        <is>
          <t>Manufacturer</t>
        </is>
      </c>
      <c r="F3" s="16" t="inlineStr">
        <is>
          <t>MPN</t>
        </is>
      </c>
      <c r="G3" s="16" t="inlineStr">
        <is>
          <t>Supplier</t>
        </is>
      </c>
      <c r="H3" s="16" t="inlineStr">
        <is>
          <t>Supplier PN</t>
        </is>
      </c>
      <c r="I3" s="16" t="inlineStr">
        <is>
          <t>Unit price (CAD)</t>
        </is>
      </c>
      <c r="J3" s="16" t="inlineStr">
        <is>
          <t>Ext. price (CAD)</t>
        </is>
      </c>
      <c r="K3" s="16" t="inlineStr">
        <is>
          <t>Description</t>
        </is>
      </c>
    </row>
    <row r="4">
      <c r="A4" s="17" t="inlineStr">
        <is>
          <t>U1</t>
        </is>
      </c>
      <c r="B4" s="17" t="n">
        <v>1</v>
      </c>
      <c r="C4" s="17" t="inlineStr">
        <is>
          <t>3.3 V ADJ LDO</t>
        </is>
      </c>
      <c r="D4" s="17" t="inlineStr">
        <is>
          <t>SOT-223 (DCY)</t>
        </is>
      </c>
      <c r="E4" s="17" t="inlineStr">
        <is>
          <t>Texas Instruments</t>
        </is>
      </c>
      <c r="F4" s="17" t="inlineStr">
        <is>
          <t>LM1117MP-ADJ/NOPB</t>
        </is>
      </c>
      <c r="G4" s="17" t="inlineStr">
        <is>
          <t>DigiKey</t>
        </is>
      </c>
      <c r="H4" s="17" t="inlineStr">
        <is>
          <t>LM1117MP-ADJ/NOPBCT-ND</t>
        </is>
      </c>
      <c r="I4" s="18" t="n">
        <v>2.58</v>
      </c>
      <c r="J4" s="18">
        <f>B4*I4</f>
        <v/>
      </c>
    </row>
    <row r="5">
      <c r="A5" s="17" t="inlineStr">
        <is>
          <t>R1</t>
        </is>
      </c>
      <c r="B5" s="17" t="n">
        <v>1</v>
      </c>
      <c r="C5" s="17" t="inlineStr">
        <is>
          <t>162 Ω 1% 1/8 W</t>
        </is>
      </c>
      <c r="D5" s="17" t="inlineStr">
        <is>
          <t>0805</t>
        </is>
      </c>
      <c r="E5" s="17" t="inlineStr">
        <is>
          <t>YAGEO</t>
        </is>
      </c>
      <c r="F5" s="17" t="inlineStr">
        <is>
          <t>RC0805FR-07162RL</t>
        </is>
      </c>
      <c r="G5" s="17" t="inlineStr">
        <is>
          <t>DigiKey</t>
        </is>
      </c>
      <c r="H5" s="17" t="inlineStr">
        <is>
          <t>311-162CRCT-ND</t>
        </is>
      </c>
      <c r="I5" s="18" t="n">
        <v>0.16</v>
      </c>
      <c r="J5" s="18">
        <f>B5*I5</f>
        <v/>
      </c>
    </row>
    <row r="6">
      <c r="A6" s="17" t="inlineStr">
        <is>
          <t>R2</t>
        </is>
      </c>
      <c r="B6" s="17" t="n">
        <v>1</v>
      </c>
      <c r="C6" s="17" t="inlineStr">
        <is>
          <t>267 Ω 1% 1/8 W</t>
        </is>
      </c>
      <c r="D6" s="17" t="inlineStr">
        <is>
          <t>0805</t>
        </is>
      </c>
      <c r="E6" s="17" t="inlineStr">
        <is>
          <t>YAGEO</t>
        </is>
      </c>
      <c r="F6" s="17" t="inlineStr">
        <is>
          <t>RC0805FR-07267RL</t>
        </is>
      </c>
      <c r="G6" s="17" t="inlineStr">
        <is>
          <t>DigiKey</t>
        </is>
      </c>
      <c r="H6" s="17" t="inlineStr">
        <is>
          <t>311-267CRCT-ND</t>
        </is>
      </c>
      <c r="I6" s="18" t="n">
        <v>0.16</v>
      </c>
      <c r="J6" s="18">
        <f>B6*I6</f>
        <v/>
      </c>
    </row>
    <row r="7">
      <c r="A7" s="17" t="inlineStr">
        <is>
          <t>R3</t>
        </is>
      </c>
      <c r="B7" s="17" t="n">
        <v>1</v>
      </c>
      <c r="C7" s="17" t="inlineStr">
        <is>
          <t>432 Ω 1% 1/8 W</t>
        </is>
      </c>
      <c r="D7" s="17" t="inlineStr">
        <is>
          <t>0805</t>
        </is>
      </c>
      <c r="E7" s="17" t="inlineStr">
        <is>
          <t>YAGEO</t>
        </is>
      </c>
      <c r="F7" s="17" t="inlineStr">
        <is>
          <t>RC0805FR-07432RL</t>
        </is>
      </c>
      <c r="G7" s="17" t="inlineStr">
        <is>
          <t>DigiKey</t>
        </is>
      </c>
      <c r="H7" s="17" t="inlineStr">
        <is>
          <t>311-432CRCT-ND</t>
        </is>
      </c>
      <c r="I7" s="18" t="n">
        <v>0.14</v>
      </c>
      <c r="J7" s="18">
        <f>B7*I7</f>
        <v/>
      </c>
    </row>
    <row r="8">
      <c r="A8" s="17" t="inlineStr">
        <is>
          <t>D1</t>
        </is>
      </c>
      <c r="B8" s="17" t="n">
        <v>1</v>
      </c>
      <c r="C8" s="17" t="inlineStr">
        <is>
          <t>Red LED (V_F 2.0 V)</t>
        </is>
      </c>
      <c r="D8" s="17" t="inlineStr">
        <is>
          <t>0805</t>
        </is>
      </c>
      <c r="E8" s="17" t="inlineStr">
        <is>
          <t>Lite-On</t>
        </is>
      </c>
      <c r="F8" s="17" t="inlineStr">
        <is>
          <t>LTST-C170KRKT</t>
        </is>
      </c>
      <c r="G8" s="17" t="inlineStr">
        <is>
          <t>DigiKey</t>
        </is>
      </c>
      <c r="H8" s="17" t="inlineStr">
        <is>
          <t>160-1415-1-ND</t>
        </is>
      </c>
      <c r="I8" s="18" t="n">
        <v>0.28</v>
      </c>
      <c r="J8" s="18">
        <f>B8*I8</f>
        <v/>
      </c>
    </row>
    <row r="9">
      <c r="A9" s="17" t="inlineStr">
        <is>
          <t>C1</t>
        </is>
      </c>
      <c r="B9" s="17" t="n">
        <v>1</v>
      </c>
      <c r="C9" s="17" t="inlineStr">
        <is>
          <t>22 µF 25 V X5R</t>
        </is>
      </c>
      <c r="D9" s="17" t="inlineStr">
        <is>
          <t>0805 (2012)</t>
        </is>
      </c>
      <c r="E9" s="17" t="inlineStr">
        <is>
          <t>Murata Electronics</t>
        </is>
      </c>
      <c r="F9" s="17" t="inlineStr">
        <is>
          <t>GRM21BR61E226ME44L</t>
        </is>
      </c>
      <c r="G9" s="17" t="inlineStr">
        <is>
          <t>DigiKey</t>
        </is>
      </c>
      <c r="H9" s="17" t="inlineStr">
        <is>
          <t>490-10749-1-ND</t>
        </is>
      </c>
      <c r="I9" s="18" t="n">
        <v>0.53</v>
      </c>
      <c r="J9" s="18">
        <f>B9*I9</f>
        <v/>
      </c>
    </row>
    <row r="10">
      <c r="A10" s="17" t="inlineStr">
        <is>
          <t>C2</t>
        </is>
      </c>
      <c r="B10" s="17" t="n">
        <v>1</v>
      </c>
      <c r="C10" s="17" t="inlineStr">
        <is>
          <t>15 µF 10 V tantalum</t>
        </is>
      </c>
      <c r="D10" s="17" t="inlineStr">
        <is>
          <t>0805 (2012)</t>
        </is>
      </c>
      <c r="E10" s="17" t="inlineStr">
        <is>
          <t>KYOCERA AVX</t>
        </is>
      </c>
      <c r="F10" s="17" t="inlineStr">
        <is>
          <t>TACR156K010XTA</t>
        </is>
      </c>
      <c r="G10" s="17" t="inlineStr">
        <is>
          <t>DigiKey</t>
        </is>
      </c>
      <c r="H10" s="17" t="inlineStr">
        <is>
          <t>478-4187-1-ND</t>
        </is>
      </c>
      <c r="I10" s="18" t="n">
        <v>5.1</v>
      </c>
      <c r="J10" s="18">
        <f>B10*I10</f>
        <v/>
      </c>
    </row>
    <row r="11">
      <c r="A11" s="17" t="inlineStr">
        <is>
          <t>J1, J2</t>
        </is>
      </c>
      <c r="B11" s="17" t="n">
        <v>2</v>
      </c>
      <c r="C11" s="17" t="inlineStr">
        <is>
          <t>2-pos 2.54 mm header</t>
        </is>
      </c>
      <c r="D11" s="17" t="inlineStr">
        <is>
          <t>THT 2.54 mm</t>
        </is>
      </c>
      <c r="E11" s="17" t="inlineStr">
        <is>
          <t>Würth Elektronik</t>
        </is>
      </c>
      <c r="F11" s="17" t="inlineStr">
        <is>
          <t>61300211121</t>
        </is>
      </c>
      <c r="G11" s="17" t="inlineStr">
        <is>
          <t>DigiKey</t>
        </is>
      </c>
      <c r="H11" s="17" t="inlineStr">
        <is>
          <t>732-5315-ND</t>
        </is>
      </c>
      <c r="I11" s="18" t="n">
        <v>0.19</v>
      </c>
      <c r="J11" s="18">
        <f>B11*I11</f>
        <v/>
      </c>
    </row>
    <row r="12">
      <c r="A12" s="19" t="inlineStr">
        <is>
          <t xml:space="preserve">Unique parts: 8  |  Total placed: </t>
        </is>
      </c>
      <c r="B12" s="4">
        <f>SUM(B4:B11)</f>
        <v/>
      </c>
      <c r="H12" s="4" t="inlineStr">
        <is>
          <t>Total</t>
        </is>
      </c>
      <c r="J12" s="20">
        <f>SUM(J4:J11)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
  <sheetViews>
    <sheetView tabSelected="1" zoomScale="70" zoomScaleNormal="70" workbookViewId="0">
      <pane xSplit="1" ySplit="5" topLeftCell="B8" activePane="bottomRight" state="frozen"/>
      <selection pane="topRight" activeCell="A1" sqref="A1"/>
      <selection pane="bottomLeft" activeCell="A1" sqref="A1"/>
      <selection pane="bottomRight" activeCell="G11" sqref="G11"/>
    </sheetView>
  </sheetViews>
  <sheetFormatPr baseColWidth="8" defaultRowHeight="14.5"/>
  <cols>
    <col width="11" customWidth="1" min="1" max="1"/>
    <col width="5" customWidth="1" min="2" max="2"/>
    <col width="22" customWidth="1" min="3" max="3"/>
    <col width="18" customWidth="1" min="4" max="4"/>
    <col width="16" customWidth="1" min="5" max="5"/>
    <col width="18" customWidth="1" min="6" max="6"/>
    <col width="22" customWidth="1" min="7" max="7"/>
    <col width="20" customWidth="1" min="8" max="8"/>
    <col width="11" customWidth="1" min="9" max="9"/>
    <col width="13" customWidth="1" min="10" max="11"/>
    <col width="9" customWidth="1" min="12" max="12"/>
    <col width="40" customWidth="1" min="13" max="13"/>
    <col width="90" customWidth="1" min="14" max="14"/>
  </cols>
  <sheetData>
    <row r="1" ht="18" customHeight="1">
      <c r="A1" s="1" t="inlineStr">
        <is>
          <t>Humanoid Electrical Onboarding: 5 V to 3.3 V LM1117 board, parts tracking</t>
        </is>
      </c>
    </row>
    <row r="2">
      <c r="A2" s="2" t="n"/>
    </row>
    <row r="3">
      <c r="A3" s="2" t="n"/>
    </row>
    <row r="5" ht="32" customHeight="1">
      <c r="A5" s="3" t="inlineStr">
        <is>
          <t>Designator</t>
        </is>
      </c>
      <c r="B5" s="3" t="inlineStr">
        <is>
          <t>Qty</t>
        </is>
      </c>
      <c r="C5" s="3" t="inlineStr">
        <is>
          <t>Function</t>
        </is>
      </c>
      <c r="D5" s="3" t="inlineStr">
        <is>
          <t>Value</t>
        </is>
      </c>
      <c r="E5" s="3" t="inlineStr">
        <is>
          <t>Package</t>
        </is>
      </c>
      <c r="F5" s="3" t="inlineStr">
        <is>
          <t>Manufacturer</t>
        </is>
      </c>
      <c r="G5" s="3" t="inlineStr">
        <is>
          <t>MPN</t>
        </is>
      </c>
      <c r="H5" s="3" t="inlineStr">
        <is>
          <t>DigiKey PN</t>
        </is>
      </c>
      <c r="I5" s="3" t="inlineStr">
        <is>
          <t>Unit price (CAD)</t>
        </is>
      </c>
      <c r="J5" s="3" t="inlineStr">
        <is>
          <t>Ext. price (CAD)</t>
        </is>
      </c>
      <c r="K5" s="3" t="inlineStr">
        <is>
          <t>Lifecycle (Octopart)</t>
        </is>
      </c>
      <c r="L5" s="3" t="inlineStr">
        <is>
          <t>In stock?</t>
        </is>
      </c>
      <c r="M5" s="3" t="inlineStr">
        <is>
          <t>Datasheet (local + URL)</t>
        </is>
      </c>
      <c r="N5" s="3" t="inlineStr">
        <is>
          <t>Why chosen / notes</t>
        </is>
      </c>
    </row>
    <row r="6" ht="37.5" customHeight="1">
      <c r="A6" s="12" t="inlineStr">
        <is>
          <t>U1</t>
        </is>
      </c>
      <c r="B6" s="12" t="n">
        <v>1</v>
      </c>
      <c r="C6" s="12" t="inlineStr">
        <is>
          <t>LDO regulator, adjustable</t>
        </is>
      </c>
      <c r="D6" s="12" t="inlineStr">
        <is>
          <t>ADJ (V_REF 1.25 V)</t>
        </is>
      </c>
      <c r="E6" s="12" t="inlineStr">
        <is>
          <t>SOT-223 (DCY)</t>
        </is>
      </c>
      <c r="F6" s="12" t="inlineStr">
        <is>
          <t>Texas Instruments</t>
        </is>
      </c>
      <c r="G6" s="12" t="inlineStr">
        <is>
          <t>LM1117MP-ADJ/NOPB</t>
        </is>
      </c>
      <c r="H6" s="12" t="inlineStr">
        <is>
          <t>LM1117MP-ADJ/NOPBCT-ND</t>
        </is>
      </c>
      <c r="I6" s="7" t="n">
        <v>2.58</v>
      </c>
      <c r="J6" s="7">
        <f>IF(I6="","",B6*I6)</f>
        <v/>
      </c>
      <c r="K6" s="12" t="inlineStr">
        <is>
          <t>Active</t>
        </is>
      </c>
      <c r="L6" s="12" t="inlineStr">
        <is>
          <t>Yes</t>
        </is>
      </c>
      <c r="M6" s="13" t="inlineStr">
        <is>
          <t>Datasheets/U1 - LM1117 Regulator - TI SNOS412Q.pdf
https://www.ti.com/lit/ds/symlink/lm1117.pdf</t>
        </is>
      </c>
      <c r="N6" s="13" t="inlineStr">
        <is>
          <t># LM1117 Absolute Maximum input voltage
Absolute Maximum input voltage = 20 V
20 V - 5 V = 15 V. (difference between absolute max and the operating voltage)
# LM1117 Dropout voltage at 500 mA
Currently: 5.0 V - 3.3 V = 1.7 V (difference between input and output voltage)
Dropout voltage at 500 mA = 1.25 V
1.7 V - 1.25 V = 0.45 V.
3.3 V + 1.25 V = 4.55 V
Thus, if input falls below 4.55 V, then it will stop regulating.
!! UNSURE: I am not sure what input tolerance the 5 V source will have. With only 0.45 V of headroom, whether this design works depends heavily on the reliability of the source.
# Thermal Calculation - Amount of Copper Poured
Efficiency = Vout/Vin = (3.3)/(5.0)
= 66%
P = I(Vin-Vout) = (0.5)(1.7) = 0.85 W
Board size = 476 mm^2
TJ = TA + (P x ThetaJA)
According to the LM1117 Datasheet table 9-2 p.18, using 194 mm^2 of top layered copper gives a T_J @ 45 C of 84, resulting in a temperature at 116 C (temp is 96 at 25 C ambient temperature). This leaves a 9 C margin between T_J and the recommended maximum given in Section 7.3 p.4 if ambient temp reaches 45 degrees. This leaves at least 59% of the 476 mm^2 board free to place components. More copper can always be poured afterwards if the layout allows, but this is the absolute minimum required for now.</t>
        </is>
      </c>
    </row>
    <row r="7" ht="50" customHeight="1">
      <c r="A7" s="12" t="inlineStr">
        <is>
          <t>R1</t>
        </is>
      </c>
      <c r="B7" s="12" t="n">
        <v>1</v>
      </c>
      <c r="C7" s="12" t="inlineStr">
        <is>
          <t>Divider, V_OUT to ADJ</t>
        </is>
      </c>
      <c r="D7" s="12" t="inlineStr">
        <is>
          <t>162 Ω, 1%, 1/8 W</t>
        </is>
      </c>
      <c r="E7" s="12" t="inlineStr">
        <is>
          <t>0805</t>
        </is>
      </c>
      <c r="F7" s="12" t="inlineStr">
        <is>
          <t>YAGEO</t>
        </is>
      </c>
      <c r="G7" s="12" t="inlineStr">
        <is>
          <t>RC0805FR-07162RL</t>
        </is>
      </c>
      <c r="H7" s="12" t="inlineStr">
        <is>
          <t>311-162CRCT-ND</t>
        </is>
      </c>
      <c r="I7" s="7" t="n">
        <v>0.16</v>
      </c>
      <c r="J7" s="7">
        <f>IF(I7="","",B7*I7)</f>
        <v/>
      </c>
      <c r="K7" s="12" t="inlineStr">
        <is>
          <t>Active</t>
        </is>
      </c>
      <c r="L7" s="12" t="inlineStr">
        <is>
          <t>Yes</t>
        </is>
      </c>
      <c r="M7" s="13" t="inlineStr">
        <is>
          <t>Datasheets/R1,R2 - Yageo RC Series Chip Resistors.pdf
https://www.mouser.com/catalog/specsheets/YAGEO_PYu_RC_Group_51_RoHS_L_12.pdf</t>
        </is>
      </c>
      <c r="N7" s="13" t="inlineStr">
        <is>
          <t># Decision for Resistor 1 to set the output voltage of regulator
The minimum current flowing out of Vout for it to continue regulating is 5 mA, according to pg. 6 of datasheet. 5 mA was used as it is the minimum current that must flow out of Vout in order for it to continue regulating at a range of temp 0–125 °C.
The other value given for minimum current was 1.7 mA at a range of 25 °C (typical temperature)
Naturally, a regulator will create heat, so a minimum current designed around room temp will not suffice. Also 1.7 mA is a TYP value, where 5 mA is the max and is guaranteed for every chip.
Thus, from V = IR, (where V is the V-REF) across R1, the maximum resistance of R1 = 250 ohms.
Also data sheet suggests a range of 100 - 200 ohms for resistor 1 ("the value is normally between 100 and 200 ohm" [pg 15]).
**See LM1117 Divider Calculator.xlsx** for more details as to why specific values for R1 and R2 were chosen. (Specifically 162 ohm &amp; 267 ohm for R1 and R2 respectively).</t>
        </is>
      </c>
    </row>
    <row r="8" ht="50" customHeight="1">
      <c r="A8" s="12" t="inlineStr">
        <is>
          <t>R2</t>
        </is>
      </c>
      <c r="B8" s="12" t="n">
        <v>1</v>
      </c>
      <c r="C8" s="12" t="inlineStr">
        <is>
          <t>Divider, ADJ to GND</t>
        </is>
      </c>
      <c r="D8" s="12" t="inlineStr">
        <is>
          <t>267 Ω, 1%, 1/8 W</t>
        </is>
      </c>
      <c r="E8" s="12" t="inlineStr">
        <is>
          <t>0805</t>
        </is>
      </c>
      <c r="F8" s="12" t="inlineStr">
        <is>
          <t>YAGEO</t>
        </is>
      </c>
      <c r="G8" s="12" t="inlineStr">
        <is>
          <t>RC0805FR-07267RL</t>
        </is>
      </c>
      <c r="H8" s="12" t="inlineStr">
        <is>
          <t>311-267CRCT-ND</t>
        </is>
      </c>
      <c r="I8" s="7" t="n">
        <v>0.16</v>
      </c>
      <c r="J8" s="7">
        <f>IF(I8="","",B8*I8)</f>
        <v/>
      </c>
      <c r="K8" s="12" t="inlineStr">
        <is>
          <t>Active</t>
        </is>
      </c>
      <c r="L8" s="12" t="inlineStr">
        <is>
          <t>Yes</t>
        </is>
      </c>
      <c r="M8" s="13" t="inlineStr">
        <is>
          <t>Datasheets/R1,R2 - Yageo RC Series Chip Resistors.pdf
https://www.mouser.com/catalog/specsheets/YAGEO_PYu_RC_Group_51_RoHS_L_12.pdf</t>
        </is>
      </c>
      <c r="N8" s="13" t="inlineStr">
        <is>
          <t># Decision for the resistor divider passives
2 resistors, (162 and 267 ohm respectively) were chosen.
The RC0805FR-07162RL and RC0805FR-07267RL were chosen simply for the resistor value and tolerance (1%).
# Accounting for tolerances of the regulator + resistors.
According to the datasheet (pg. 5), V-REF can be between 1.225 &amp; 1.27 V, additionally E96 series resistors have a 1% tolerance. Using the formula Vout = 1.27 x (1 + (267x1.01)/(162x0.99)) = 3.41 V for the high case and Vout = 1.225 x (1 + (267x0.99)/(162x1.01)) = 3.20 V for the low case, this yields a range of 3.2 V to 3.41 V. 
For the 'high' end case, the error term of the current leakage from ADJ pin adds 3.41 V + 120 x 10^-6 A x 267 x 1.01 ohms then gives 3.44 V as the highest value for voltage.
According to JEDEC interface standard for Nominal 3 V/3.3 V Supply Digital Integrated Circuits the allowed 'narrow range' is 3.15-3.45 for a 3.3 V output, meaning the range of 3.2 V to 3.44 V fits in and is within the JEDEC narrow range. Thus the tolerances of the regulator + resistors should not impact the normal functioning of this device
JEDEC JESD8C (June 2006), Table 1, p. 2: 3.3 V supply, normal range 3.0–3.6 V, narrow range 3.15–3.45 V. Absolute max V_DD 4.6 V (Section 2.1, p. 1).
*Note to self: make sure ADJ pin does not float. If it does, Vout rises to about 3.9 V, above the 3.6 V JEDEC operating limit, so correct operation is not guaranteed.</t>
        </is>
      </c>
    </row>
    <row r="9" ht="50" customHeight="1">
      <c r="A9" s="12" t="inlineStr">
        <is>
          <t>R3</t>
        </is>
      </c>
      <c r="B9" s="12" t="n">
        <v>1</v>
      </c>
      <c r="C9" s="12" t="inlineStr">
        <is>
          <t>LED series resistor</t>
        </is>
      </c>
      <c r="D9" s="12" t="inlineStr">
        <is>
          <t>432 Ω, 1%, 1/8 W</t>
        </is>
      </c>
      <c r="E9" s="12" t="inlineStr">
        <is>
          <t>0805</t>
        </is>
      </c>
      <c r="F9" s="12" t="inlineStr">
        <is>
          <t>YAGEO</t>
        </is>
      </c>
      <c r="G9" s="12" t="inlineStr">
        <is>
          <t>RC0805FR-07432RL</t>
        </is>
      </c>
      <c r="H9" s="12" t="inlineStr">
        <is>
          <t>311-432CRCT-ND</t>
        </is>
      </c>
      <c r="I9" s="7" t="n">
        <v>0.14</v>
      </c>
      <c r="J9" s="7">
        <f>IF(I9="","",B9*I9)</f>
        <v/>
      </c>
      <c r="K9" s="12" t="inlineStr">
        <is>
          <t>Active</t>
        </is>
      </c>
      <c r="L9" s="12" t="inlineStr">
        <is>
          <t>Yes</t>
        </is>
      </c>
      <c r="M9" s="13" t="inlineStr">
        <is>
          <t>Datasheets/R1,R2 - Yageo RC Series Chip Resistors.pdf
https://www.mouser.com/catalog/specsheets/YAGEO_PYu_RC_Group_51_RoHS_L_12.pdf</t>
        </is>
      </c>
      <c r="N9" s="13" t="inlineStr">
        <is>
          <t># Decision for Resistor 3 + red LED
Since the red LED is simply an indicator, a lower current (dimmer + less power wasted) is suitable. Typically, the industry standard for indicators is about 1 - 5 mA. Hence, a current of 3 mA was chosen arbitrarily.
Given that the LTST-C170KRKT red LED has a V_F of 2.0 V (according to the **Lite-On LTST-C170KRKT datasheet**), and a current of 3 mA, then, the resistor in series with the LED must be 433.33 ohms. 
Since this value for R3 (the resistor in series with the red LED) is not a standard E96 value, a value of 432 ohms was chosen. This may slightly increase current from 3 mA, though the increase is negligible. 
Again, like R1 and R2, once the resistance value has been calculated, the passives for R3 (RC0805FR-07432RL) were chosen (1% tolerance, 1/8 W max power rating)
~ Calculating Power dissipated in R3
To make sure the power dissipated in R3 is below the resistor power rating of 0.125 W:
since Power is P = I^2 x R, P = 0.003^2 x 432 = 3.9 mW or 0.0039 W. This value is far below the maximum power rating of R3.</t>
        </is>
      </c>
    </row>
    <row r="10" ht="50" customHeight="1">
      <c r="A10" s="12" t="inlineStr">
        <is>
          <t>D1</t>
        </is>
      </c>
      <c r="B10" s="12" t="n">
        <v>1</v>
      </c>
      <c r="C10" s="12" t="inlineStr">
        <is>
          <t>3.3 V indicator LED, red</t>
        </is>
      </c>
      <c r="D10" s="12" t="inlineStr">
        <is>
          <t>Red, V_F 2.0 V @20mA, run @3mA</t>
        </is>
      </c>
      <c r="E10" s="12" t="inlineStr">
        <is>
          <t>0805</t>
        </is>
      </c>
      <c r="F10" s="12" t="inlineStr">
        <is>
          <t>Lite-On</t>
        </is>
      </c>
      <c r="G10" s="12" t="inlineStr">
        <is>
          <t>LTST-C170KRKT</t>
        </is>
      </c>
      <c r="H10" s="12" t="inlineStr">
        <is>
          <t>160-1415-1-ND</t>
        </is>
      </c>
      <c r="I10" s="7" t="n">
        <v>0.28</v>
      </c>
      <c r="J10" s="7">
        <f>IF(I10="","",B10*I10)</f>
        <v/>
      </c>
      <c r="K10" s="12" t="inlineStr">
        <is>
          <t>Active</t>
        </is>
      </c>
      <c r="L10" s="12" t="inlineStr">
        <is>
          <t>Yes</t>
        </is>
      </c>
      <c r="M10" s="13" t="inlineStr">
        <is>
          <t>Datasheets/D1 - LTST-C170KRKT Red LED - Lite-On.pdf
https://optoelectronics.liteon.com/upload/download/DS-22-99-0150/LTST-C170KRKT.pdf</t>
        </is>
      </c>
      <c r="N10" s="13" t="inlineStr">
        <is>
          <t># Decision for Resistor 3 + red LED
Since the red LED is simply an indicator, a lower current (dimmer + less power wasted) is suitable. Typically, the industry standard for indicators is about 1 - 5 mA. Hence, a current of 3 mA was chosen arbitrarily.
Given that the LTST-C170KRKT red LED has a V_F of 2.0 V (according to the **Lite-On LTST-C170KRKT datasheet**), and a current of 3 mA, then, the resistor in series with the LED must be 433.33 ohms. 
Since this value for R3 (the resistor in series with the red LED) is not a standard E96 value, a value of 432 ohms was chosen. This may slightly increase current from 3 mA, though the increase is negligible. 
Again, like R1 and R2, once the resistance value has been calculated, the passives for R3 (RC0805FR-07432RL) were chosen (1% tolerance, 1/8 W max power rating)
~ Calculating Power dissipated in R3
To make sure the power dissipated in R3 is below the resistor power rating of 0.125 W:
since Power is P = I^2 x R, P = 0.003^2 x 432 = 3.9 mW or 0.0039 W. This value is far below the maximum power rating of R3.</t>
        </is>
      </c>
    </row>
    <row r="11" ht="62.5" customHeight="1">
      <c r="A11" s="12" t="inlineStr">
        <is>
          <t>C1</t>
        </is>
      </c>
      <c r="B11" s="12" t="n">
        <v>1</v>
      </c>
      <c r="C11" s="12" t="inlineStr">
        <is>
          <t>Input capacitor</t>
        </is>
      </c>
      <c r="D11" s="12" t="inlineStr">
        <is>
          <t>22 µF, 25 V, X5R, ±20%</t>
        </is>
      </c>
      <c r="E11" s="12" t="inlineStr">
        <is>
          <t>0805 (2012)</t>
        </is>
      </c>
      <c r="F11" s="12" t="inlineStr">
        <is>
          <t>Murata Electronics</t>
        </is>
      </c>
      <c r="G11" s="12" t="inlineStr">
        <is>
          <t>GRM21BR61E226ME44L</t>
        </is>
      </c>
      <c r="H11" s="12" t="inlineStr">
        <is>
          <t>490-10749-1-ND</t>
        </is>
      </c>
      <c r="I11" s="7" t="n">
        <v>0.53</v>
      </c>
      <c r="J11" s="7">
        <f>IF(I11="","",B11*I11)</f>
        <v/>
      </c>
      <c r="K11" s="12" t="inlineStr">
        <is>
          <t>Active</t>
        </is>
      </c>
      <c r="L11" s="12" t="inlineStr">
        <is>
          <t>Yes</t>
        </is>
      </c>
      <c r="M11" s="13" t="inlineStr">
        <is>
          <t>Datasheets/490_Chip_Multilayer_CAT2021_MLCC.pdf
https://www.murata.com/en-us/products/productdetail?partno=GRM21BR61E226ME44L</t>
        </is>
      </c>
      <c r="N11" s="13" t="inlineStr">
        <is>
          <t># Decision for Input Capacitor
As stated in the LM1117 datasheet: (9.2.2.1.1, p. 14)
"An input capacitor is recommended. A 10-µF tantalum on the input is a suitable input capacitor for almost all applications."
The data sheet recommends a input capacitor. It also sets no ESR minimum/limit. Thus a ceramic capacitor is usable since it is:
- cheaper
- non-polarized
- longer lifetime
~ Accounting for C-DC Bias, picking an effective derating factor
According to Murata, (the supplier for the chosen ceramic input capacitor) https://pim.murata.com/en-us/pim/details/?productCategoryId=ceramicCapacitorSMD&amp;partNum=GRM21BR61E226ME44%23
The C-DC bias shows a 53.6% capacitance change rate at 5.0 V, thus the capacitor would deliver ~10.2 uF instead of 22 uF. As stated in # Decision for Input Capacitor, a 10 uF capacitor is suitable for almost all applications
In this case, even with the derating factor due to C-DC bias the minimum capacitance is always &gt;=10 uF. Thus, a 22 uF ceramic capacitor is chosen.</t>
        </is>
      </c>
    </row>
    <row r="12" ht="37.5" customHeight="1">
      <c r="A12" s="12" t="inlineStr">
        <is>
          <t>C2</t>
        </is>
      </c>
      <c r="B12" s="12" t="n">
        <v>1</v>
      </c>
      <c r="C12" s="12" t="inlineStr">
        <is>
          <t>Output capacitor</t>
        </is>
      </c>
      <c r="D12" s="12" t="inlineStr">
        <is>
          <t>15 µF tantalum, 10 V, ±10%</t>
        </is>
      </c>
      <c r="E12" s="12" t="inlineStr">
        <is>
          <t>0805 (2012)</t>
        </is>
      </c>
      <c r="F12" s="12" t="inlineStr">
        <is>
          <t>KYOCERA AVX</t>
        </is>
      </c>
      <c r="G12" s="12" t="inlineStr">
        <is>
          <t>TACR156K010XTA</t>
        </is>
      </c>
      <c r="H12" s="12" t="inlineStr">
        <is>
          <t>478-4187-1-ND</t>
        </is>
      </c>
      <c r="I12" s="7" t="n">
        <v>5.1</v>
      </c>
      <c r="J12" s="7">
        <f>IF(I12="","",B12*I12)</f>
        <v/>
      </c>
      <c r="K12" s="12" t="inlineStr">
        <is>
          <t>Active</t>
        </is>
      </c>
      <c r="L12" s="12" t="inlineStr">
        <is>
          <t>Yes</t>
        </is>
      </c>
      <c r="M12" s="13" t="inlineStr">
        <is>
          <t>Datasheets/C2 - TACR156K010XTA Tantalum - AVX TAC Series.pdf
https://datasheets.kyocera-avx.com/TAC.pdf</t>
        </is>
      </c>
      <c r="N12" s="13" t="inlineStr">
        <is>
          <t># Decision for Tantalum Capacitor TACR156K010XTA (Output Capacitor)
~ minimum capacitance requirement
Since a minimum capacitance of 10 uF is required for the LM1117 regulator (according to LM1117 datasheet), and there is a typical tolerance of 10-20% for 10 uF tantalum capacitor, a capacitor with a capacitance of 15 uF would meet that requirement at all times regardless of tolerances.
The TACR156K010XTA has a tolerance of 10%. With 15 uF, the minimum capacitance would be 13.5 uF.
~ ESR (equivalent series resistance)
Also, to prevent oscillation ESR must be between 0.3 - 22 ohm. Typical ceramic capacitors often have an ESR much lower than 0.3 ohm, thus a tantalum capacitor should be used.
TACR156K010XTA (Chosen tantalum capacitor) has 5 Ω max at 100 kHz , which falls between 0.3 - 22 ohm. Though this is a MAXIMUM VALUE, parts of this size typically stay well above 0.3 ohm, in practice. The 0.3 ohm minimum should not be a problem in this case, but it is worth noting for the future. 
~ Voltage rating
A 10 V rating was chosen due to the AVX guide which recommends "6.3 V tantalum for a 3.3 V rail". 10 V is conservative based upon that value. Information was from the pdf named "AVX - Tantalum Technical Summary and Application Guidelines.pdf" submitted with this deliverable.
!!Caveat: the pricing of this specific tantalum capacitor is quite expensive due to the 0805 size constraint outlined in the Watonomous design doc. If a larger size, ie 1206 was used, (TAJA156M010RNJ) the price of this component would be about 10x cheaper.
# Decision to Include C-ADJ or not. (C meaning Capacitor)
With C-ADJ fitted data sheet requires output capacitor to go from 10 uF to 22 uF tantalum for stability.
 -(to prevent oscillation)
Addition of C-ADJ improves ripple rejection
*Ripple Rejection: AC noise kept from reaching the output.*
This would require the addition of one capacitor and replacing the smaller capacitor with a larger one [22 uF (replacing 10 uF) and C-ADJ]. This may lead to space concerns on the 28 x 17 mm board.
ASSUMING the 5 V rail is already regulated, ripple could be low.
HOWEVER, this is an assumption that the supply that the board connects to is also clean as well. If these ideal conditions do not hold, then it would be better to have the C-ADJ capacitor.
For now, the decision is to not use the C-ADJ capacitor.
[9.2.2.1.2, p. 14; 9.2.2.1.3, p. 15] (LM1117 800-mA, Low-Dropout Linear Regulator Data Sheet)</t>
        </is>
      </c>
    </row>
    <row r="13" ht="25" customHeight="1">
      <c r="A13" s="12" t="inlineStr">
        <is>
          <t>J1, J2</t>
        </is>
      </c>
      <c r="B13" s="12" t="n">
        <v>2</v>
      </c>
      <c r="C13" s="12" t="inlineStr">
        <is>
          <t>Input / output connectors</t>
        </is>
      </c>
      <c r="D13" s="12" t="inlineStr">
        <is>
          <t>2-pos header, 2.54mm, male, vertical</t>
        </is>
      </c>
      <c r="E13" s="12" t="inlineStr">
        <is>
          <t>Through-hole, 2.54mm pitch</t>
        </is>
      </c>
      <c r="F13" s="12" t="inlineStr">
        <is>
          <t>Würth Elektronik</t>
        </is>
      </c>
      <c r="G13" s="12" t="inlineStr">
        <is>
          <t>61300211121</t>
        </is>
      </c>
      <c r="H13" s="12" t="inlineStr">
        <is>
          <t>732-5315-ND</t>
        </is>
      </c>
      <c r="I13" s="7" t="n">
        <v>0.19</v>
      </c>
      <c r="J13" s="7">
        <f>IF(I13="","",B13*I13)</f>
        <v/>
      </c>
      <c r="K13" s="12" t="inlineStr">
        <is>
          <t>Active</t>
        </is>
      </c>
      <c r="L13" s="12" t="inlineStr">
        <is>
          <t>Yes</t>
        </is>
      </c>
      <c r="M13" s="13" t="inlineStr">
        <is>
          <t>https://www.we-online.com/components/products/datasheet/61300211121.pdf</t>
        </is>
      </c>
      <c r="N13" s="13" t="inlineStr">
        <is>
          <t># Decision for Connectors (J1 and J2)
Through hole was used instead of SMD (Surface Mount Device) since connectors are tugged when wires plug in and plug out. Typically through holes handle that stress much better than surface-mount pads
!! The Sullins PBC02SAAN is a bare pin header connector, meaning the input on an actual built board could technically be plugged in backwards. For this project that is 'design only' I don't believe it to be an issue, but this is something I'd probably change for production.</t>
        </is>
      </c>
    </row>
    <row r="14">
      <c r="A14" s="4" t="inlineStr">
        <is>
          <t>Parts</t>
        </is>
      </c>
      <c r="B14" s="5">
        <f>SUM(B6:B13)</f>
        <v/>
      </c>
      <c r="C14" s="14" t="n"/>
      <c r="D14" s="14" t="n"/>
      <c r="E14" s="14" t="n"/>
      <c r="F14" s="14" t="n"/>
      <c r="G14" s="14" t="n"/>
      <c r="H14" s="14" t="n"/>
      <c r="I14" s="4" t="inlineStr">
        <is>
          <t>Total</t>
        </is>
      </c>
      <c r="J14" s="6">
        <f>SUM(J6:J13)</f>
        <v/>
      </c>
      <c r="K14" s="14" t="n"/>
      <c r="L14" s="14" t="n"/>
      <c r="M14" s="14" t="n"/>
      <c r="N14" s="14" t="n"/>
    </row>
    <row r="16">
      <c r="A16" s="2" t="n"/>
    </row>
    <row r="18">
      <c r="A18" s="8" t="n"/>
    </row>
    <row r="19">
      <c r="A19" s="9" t="n"/>
      <c r="B19" s="11" t="n"/>
    </row>
    <row r="20" ht="85" customHeight="1">
      <c r="A20" s="9" t="n"/>
      <c r="B20" s="11" t="n"/>
    </row>
    <row r="21" ht="58" customHeight="1">
      <c r="A21" s="9" t="n"/>
      <c r="B21" s="11" t="n"/>
    </row>
    <row r="22" ht="31" customHeight="1">
      <c r="A22" s="9" t="n"/>
      <c r="B22" s="11" t="n"/>
    </row>
    <row r="23" ht="98.5" customHeight="1"/>
    <row r="24">
      <c r="A24" s="10" t="n"/>
    </row>
  </sheetData>
  <conditionalFormatting sqref="K6:K13">
    <cfRule type="expression" priority="1" dxfId="0">
      <formula>OR(K6="NRND",K6="Obsolete")</formula>
    </cfRule>
  </conditionalFormatting>
  <conditionalFormatting sqref="L6:L13">
    <cfRule type="expression" priority="2" dxfId="0">
      <formula>L6="No"</formula>
    </cfRule>
  </conditionalFormatting>
  <dataValidations count="2">
    <dataValidation sqref="K6:K13" showDropDown="0" showInputMessage="0" showErrorMessage="0" allowBlank="1" type="list">
      <formula1>"Active,NRND,Obsolete,Unknown"</formula1>
    </dataValidation>
    <dataValidation sqref="L6:L1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2026-09-18T23:14:41Z</dcterms:created>
  <dcterms:modified xsi:type="dcterms:W3CDTF">2026-09-25T02:27:03Z</dcterms:modified>
  <cp:lastModifiedBy>Justin Gu</cp:lastModifiedBy>
</cp:coreProperties>
</file>